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6.xml" ContentType="application/vnd.openxmlformats-officedocument.drawing+xml"/>
  <Override PartName="/xl/tables/table3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0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1.xml" ContentType="application/vnd.openxmlformats-officedocument.drawing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2.xml" ContentType="application/vnd.openxmlformats-officedocument.drawing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3.xml" ContentType="application/vnd.openxmlformats-officedocument.drawing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4.xml" ContentType="application/vnd.openxmlformats-officedocument.drawing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5.xml" ContentType="application/vnd.openxmlformats-officedocument.drawing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6.xml" ContentType="application/vnd.openxmlformats-officedocument.drawing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99C9086-67A9-5B14-2C2D-5A8001700F7D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/Users/mauricio/Desktop/"/>
    </mc:Choice>
  </mc:AlternateContent>
  <xr:revisionPtr revIDLastSave="0" documentId="13_ncr:1_{F3042F3C-67FF-EE47-BCA5-15E079625FA7}" xr6:coauthVersionLast="47" xr6:coauthVersionMax="47" xr10:uidLastSave="{00000000-0000-0000-0000-000000000000}"/>
  <bookViews>
    <workbookView xWindow="0" yWindow="500" windowWidth="28800" windowHeight="16280" xr2:uid="{B3DE6763-F628-4643-A001-8F7FCAA44704}"/>
  </bookViews>
  <sheets>
    <sheet name="Resumo" sheetId="1" r:id="rId1"/>
    <sheet name="Dados" sheetId="3" state="hidden" r:id="rId2"/>
    <sheet name="Tabelas" sheetId="4" state="hidden" r:id="rId3"/>
    <sheet name="CopyCSV" sheetId="5" state="hidden" r:id="rId4"/>
    <sheet name="Personalização" sheetId="2" r:id="rId5"/>
    <sheet name="Jan" sheetId="6" r:id="rId6"/>
    <sheet name="Fev" sheetId="7" r:id="rId7"/>
    <sheet name="Mar" sheetId="8" r:id="rId8"/>
    <sheet name="Abr" sheetId="9" r:id="rId9"/>
    <sheet name="Mai" sheetId="10" r:id="rId10"/>
    <sheet name="Jun" sheetId="11" r:id="rId11"/>
    <sheet name="Jul" sheetId="12" r:id="rId12"/>
    <sheet name="Ago" sheetId="13" r:id="rId13"/>
    <sheet name="Set" sheetId="14" r:id="rId14"/>
    <sheet name="Out" sheetId="15" r:id="rId15"/>
    <sheet name="Nov" sheetId="16" r:id="rId16"/>
    <sheet name="Dez" sheetId="17" r:id="rId17"/>
  </sheets>
  <definedNames>
    <definedName name="_xleta.ACOS" hidden="1" xlm="1">#NAME?</definedName>
    <definedName name="_xleta.COS" hidden="1" xlm="1">#NAME?</definedName>
    <definedName name="AbrCatDv" localSheetId="8">Abr!$Z$6:$Z$500</definedName>
    <definedName name="AbrResumo" localSheetId="8">Abr!$P$10:$Q$26</definedName>
    <definedName name="AgoCatDv" localSheetId="12">Ago!$Z$6:$Z$500</definedName>
    <definedName name="AgoResumo" localSheetId="12">Ago!$P$10:$Q$26</definedName>
    <definedName name="DezCatDv" localSheetId="16">Dez!$Z$6:$Z$500</definedName>
    <definedName name="DezInv">Dez!$B$24:$C$28</definedName>
    <definedName name="DezResumo" localSheetId="16">Dez!$P$10:$Q$26</definedName>
    <definedName name="FevCatDv" localSheetId="6">Fev!$Z$6:$Z$500</definedName>
    <definedName name="FevResumo">Fev!$P$10:$Q$26</definedName>
    <definedName name="JanCatDv">Jan!$Z$6:$Z$500</definedName>
    <definedName name="JanResumo">Jan!$P$10:$Q$26</definedName>
    <definedName name="JulCatDv" localSheetId="11">Jul!$Z$6:$Z$500</definedName>
    <definedName name="JulResumo" localSheetId="11">Jul!$P$10:$Q$26</definedName>
    <definedName name="JunCatDv" localSheetId="10">Jun!$Z$6:$Z$500</definedName>
    <definedName name="JunResumo" localSheetId="10">Jun!$P$10:$Q$26</definedName>
    <definedName name="MaiCatDv" localSheetId="9">Mai!$Z$6:$Z$500</definedName>
    <definedName name="MaiResumo" localSheetId="9">Mai!$P$10:$Q$26</definedName>
    <definedName name="MarCatDv" localSheetId="7">Mar!$Z$6:$Z$500</definedName>
    <definedName name="MarResumo" localSheetId="7">Mar!$P$10:$Q$26</definedName>
    <definedName name="NovCatDv" localSheetId="15">Nov!$Z$6:$Z$500</definedName>
    <definedName name="NovResumo" localSheetId="15">Nov!$P$10:$Q$26</definedName>
    <definedName name="OutCatDv" localSheetId="14">Out!$Z$6:$Z$500</definedName>
    <definedName name="OutResumo" localSheetId="14">Out!$P$10:$Q$26</definedName>
    <definedName name="SegmentaçãodeDados_Mês">#N/A</definedName>
    <definedName name="SegmentaçãodeDados_Mês1">#N/A</definedName>
    <definedName name="SetCatDv" localSheetId="13">Set!$Z$6:$Z$500</definedName>
    <definedName name="SetResumo" localSheetId="13">Set!$P$10:$Q$26</definedName>
    <definedName name="TabelaPrincipal">Tabelas!$B$5:$AR$17</definedName>
  </definedNames>
  <calcPr calcId="191029" iterateDelta="1E-4"/>
  <pivotCaches>
    <pivotCache cacheId="1" r:id="rId18"/>
  </pivotCaches>
  <extLst>
    <ext xmlns:x14="http://schemas.microsoft.com/office/spreadsheetml/2009/9/main" uri="{BBE1A952-AA13-448e-AADC-164F8A28A991}">
      <x14:slicerCaches>
        <x14:slicerCache r:id="rId19"/>
        <x14:slicerCache r:id="rId2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H17" i="4" l="1"/>
  <c r="AG17" i="4"/>
  <c r="AF17" i="4"/>
  <c r="AE17" i="4"/>
  <c r="AD17" i="4"/>
  <c r="AC17" i="4"/>
  <c r="AB17" i="4"/>
  <c r="AA17" i="4"/>
  <c r="Z17" i="4"/>
  <c r="Y17" i="4"/>
  <c r="AH16" i="4"/>
  <c r="AG16" i="4"/>
  <c r="AF16" i="4"/>
  <c r="AE16" i="4"/>
  <c r="AD16" i="4"/>
  <c r="AC16" i="4"/>
  <c r="AB16" i="4"/>
  <c r="AA16" i="4"/>
  <c r="Z16" i="4"/>
  <c r="Y16" i="4"/>
  <c r="AH15" i="4"/>
  <c r="AG15" i="4"/>
  <c r="AF15" i="4"/>
  <c r="AE15" i="4"/>
  <c r="AD15" i="4"/>
  <c r="AC15" i="4"/>
  <c r="AB15" i="4"/>
  <c r="AA15" i="4"/>
  <c r="Z15" i="4"/>
  <c r="Y15" i="4"/>
  <c r="AH14" i="4"/>
  <c r="AG14" i="4"/>
  <c r="AF14" i="4"/>
  <c r="AE14" i="4"/>
  <c r="AD14" i="4"/>
  <c r="AC14" i="4"/>
  <c r="AB14" i="4"/>
  <c r="AA14" i="4"/>
  <c r="Z14" i="4"/>
  <c r="Y14" i="4"/>
  <c r="AH13" i="4"/>
  <c r="AG13" i="4"/>
  <c r="AF13" i="4"/>
  <c r="AE13" i="4"/>
  <c r="AD13" i="4"/>
  <c r="AC13" i="4"/>
  <c r="AB13" i="4"/>
  <c r="AA13" i="4"/>
  <c r="Z13" i="4"/>
  <c r="Y13" i="4"/>
  <c r="AH12" i="4"/>
  <c r="AG12" i="4"/>
  <c r="AF12" i="4"/>
  <c r="AE12" i="4"/>
  <c r="AD12" i="4"/>
  <c r="AC12" i="4"/>
  <c r="AB12" i="4"/>
  <c r="AA12" i="4"/>
  <c r="Z12" i="4"/>
  <c r="Y12" i="4"/>
  <c r="AH11" i="4"/>
  <c r="AG11" i="4"/>
  <c r="AF11" i="4"/>
  <c r="AE11" i="4"/>
  <c r="AD11" i="4"/>
  <c r="AC11" i="4"/>
  <c r="AB11" i="4"/>
  <c r="AA11" i="4"/>
  <c r="Z11" i="4"/>
  <c r="Y11" i="4"/>
  <c r="AH10" i="4"/>
  <c r="AG10" i="4"/>
  <c r="AF10" i="4"/>
  <c r="AE10" i="4"/>
  <c r="AD10" i="4"/>
  <c r="AC10" i="4"/>
  <c r="AB10" i="4"/>
  <c r="AA10" i="4"/>
  <c r="Z10" i="4"/>
  <c r="Y10" i="4"/>
  <c r="AH9" i="4"/>
  <c r="AG9" i="4"/>
  <c r="AF9" i="4"/>
  <c r="AE9" i="4"/>
  <c r="AD9" i="4"/>
  <c r="AC9" i="4"/>
  <c r="AB9" i="4"/>
  <c r="AA9" i="4"/>
  <c r="Z9" i="4"/>
  <c r="Y9" i="4"/>
  <c r="AH8" i="4"/>
  <c r="AG8" i="4"/>
  <c r="AF8" i="4"/>
  <c r="AE8" i="4"/>
  <c r="AD8" i="4"/>
  <c r="AC8" i="4"/>
  <c r="AB8" i="4"/>
  <c r="AA8" i="4"/>
  <c r="Z8" i="4"/>
  <c r="Y8" i="4"/>
  <c r="AH7" i="4"/>
  <c r="AG7" i="4"/>
  <c r="AF7" i="4"/>
  <c r="AE7" i="4"/>
  <c r="AD7" i="4"/>
  <c r="AC7" i="4"/>
  <c r="AB7" i="4"/>
  <c r="AA7" i="4"/>
  <c r="Z7" i="4"/>
  <c r="Y7" i="4"/>
  <c r="C257" i="1"/>
  <c r="A32" i="3"/>
  <c r="A46" i="3"/>
  <c r="A31" i="3"/>
  <c r="C30" i="3"/>
  <c r="D30" i="3"/>
  <c r="E30" i="3"/>
  <c r="F30" i="3"/>
  <c r="G30" i="3"/>
  <c r="H30" i="3"/>
  <c r="I30" i="3"/>
  <c r="J30" i="3"/>
  <c r="K30" i="3"/>
  <c r="L30" i="3"/>
  <c r="M30" i="3"/>
  <c r="B30" i="3"/>
  <c r="A29" i="3"/>
  <c r="AG71" i="4"/>
  <c r="A47" i="3" s="1"/>
  <c r="P26" i="17"/>
  <c r="P26" i="16"/>
  <c r="P26" i="15"/>
  <c r="P26" i="14"/>
  <c r="P26" i="13"/>
  <c r="P26" i="12"/>
  <c r="P26" i="11"/>
  <c r="P26" i="10"/>
  <c r="P26" i="9"/>
  <c r="P26" i="8"/>
  <c r="P26" i="7"/>
  <c r="P26" i="6"/>
  <c r="Q26" i="6" s="1"/>
  <c r="AG70" i="4"/>
  <c r="AG56" i="4"/>
  <c r="AG57" i="4"/>
  <c r="A33" i="3" s="1"/>
  <c r="AG58" i="4"/>
  <c r="A34" i="3" s="1"/>
  <c r="AG59" i="4"/>
  <c r="A35" i="3" s="1"/>
  <c r="AG60" i="4"/>
  <c r="A36" i="3" s="1"/>
  <c r="AG61" i="4"/>
  <c r="A37" i="3" s="1"/>
  <c r="AG62" i="4"/>
  <c r="A38" i="3" s="1"/>
  <c r="AG63" i="4"/>
  <c r="A39" i="3" s="1"/>
  <c r="AG64" i="4"/>
  <c r="A40" i="3" s="1"/>
  <c r="AG65" i="4"/>
  <c r="A41" i="3" s="1"/>
  <c r="AG66" i="4"/>
  <c r="A42" i="3" s="1"/>
  <c r="AG67" i="4"/>
  <c r="A43" i="3" s="1"/>
  <c r="AG68" i="4"/>
  <c r="A44" i="3" s="1"/>
  <c r="AG69" i="4"/>
  <c r="A45" i="3" s="1"/>
  <c r="AG55" i="4"/>
  <c r="Y24" i="17" a="1"/>
  <c r="Y24" i="17" s="1"/>
  <c r="Y24" i="16" a="1"/>
  <c r="Y24" i="16" s="1"/>
  <c r="Y24" i="15" a="1"/>
  <c r="Y24" i="15" s="1"/>
  <c r="Y24" i="14" a="1"/>
  <c r="Y24" i="14" s="1"/>
  <c r="Y24" i="13" a="1"/>
  <c r="Y24" i="13" s="1"/>
  <c r="Y24" i="12" a="1"/>
  <c r="Y24" i="12" s="1"/>
  <c r="Y24" i="11" a="1"/>
  <c r="Y24" i="11" s="1"/>
  <c r="Y24" i="10" a="1"/>
  <c r="Y24" i="10" s="1"/>
  <c r="Y24" i="9" a="1"/>
  <c r="Y24" i="9" s="1"/>
  <c r="Y24" i="8" a="1"/>
  <c r="Y24" i="8" s="1"/>
  <c r="Y24" i="7" a="1"/>
  <c r="Y24" i="7" s="1"/>
  <c r="K7" i="4" s="1"/>
  <c r="Y24" i="6" a="1"/>
  <c r="Y24" i="6" s="1"/>
  <c r="I6" i="4" s="1"/>
  <c r="D28" i="4"/>
  <c r="D26" i="4"/>
  <c r="D29" i="4"/>
  <c r="D27" i="4"/>
  <c r="H6" i="4" l="1"/>
  <c r="G6" i="4"/>
  <c r="K6" i="4"/>
  <c r="J6" i="4"/>
  <c r="I17" i="4"/>
  <c r="J17" i="4"/>
  <c r="K17" i="4"/>
  <c r="H17" i="4"/>
  <c r="G17" i="4"/>
  <c r="G16" i="4"/>
  <c r="K16" i="4"/>
  <c r="H16" i="4"/>
  <c r="J16" i="4"/>
  <c r="I16" i="4"/>
  <c r="K15" i="4"/>
  <c r="J15" i="4"/>
  <c r="I15" i="4"/>
  <c r="G15" i="4"/>
  <c r="H15" i="4"/>
  <c r="I14" i="4"/>
  <c r="H14" i="4"/>
  <c r="G14" i="4"/>
  <c r="K14" i="4"/>
  <c r="J14" i="4"/>
  <c r="K13" i="4"/>
  <c r="I13" i="4"/>
  <c r="H13" i="4"/>
  <c r="J13" i="4"/>
  <c r="G13" i="4"/>
  <c r="K12" i="4"/>
  <c r="H12" i="4"/>
  <c r="G12" i="4"/>
  <c r="J12" i="4"/>
  <c r="I12" i="4"/>
  <c r="G11" i="4"/>
  <c r="K11" i="4"/>
  <c r="I11" i="4"/>
  <c r="J11" i="4"/>
  <c r="H11" i="4"/>
  <c r="I10" i="4"/>
  <c r="H10" i="4"/>
  <c r="G10" i="4"/>
  <c r="K10" i="4"/>
  <c r="J10" i="4"/>
  <c r="I9" i="4"/>
  <c r="G9" i="4"/>
  <c r="J9" i="4"/>
  <c r="K9" i="4"/>
  <c r="H9" i="4"/>
  <c r="K8" i="4"/>
  <c r="J8" i="4"/>
  <c r="I8" i="4"/>
  <c r="H8" i="4"/>
  <c r="G8" i="4"/>
  <c r="G7" i="4"/>
  <c r="H7" i="4"/>
  <c r="I7" i="4"/>
  <c r="J7" i="4"/>
  <c r="D7" i="2"/>
  <c r="D51" i="1"/>
  <c r="D49" i="1"/>
  <c r="D47" i="1"/>
  <c r="D45" i="1"/>
  <c r="D43" i="1"/>
  <c r="D41" i="1"/>
  <c r="D39" i="1"/>
  <c r="D37" i="1"/>
  <c r="D35" i="1"/>
  <c r="D33" i="1"/>
  <c r="A1" i="3"/>
  <c r="C50" i="3"/>
  <c r="D50" i="3"/>
  <c r="E50" i="3"/>
  <c r="F50" i="3"/>
  <c r="G50" i="3"/>
  <c r="H50" i="3"/>
  <c r="I50" i="3"/>
  <c r="J50" i="3"/>
  <c r="K50" i="3"/>
  <c r="L50" i="3"/>
  <c r="M50" i="3"/>
  <c r="B50" i="3"/>
  <c r="A49" i="3"/>
  <c r="C17" i="3"/>
  <c r="D17" i="3"/>
  <c r="E17" i="3"/>
  <c r="F17" i="3"/>
  <c r="G17" i="3"/>
  <c r="H17" i="3"/>
  <c r="I17" i="3"/>
  <c r="J17" i="3"/>
  <c r="K17" i="3"/>
  <c r="L17" i="3"/>
  <c r="M17" i="3"/>
  <c r="B17" i="3"/>
  <c r="A16" i="3"/>
  <c r="A4" i="3"/>
  <c r="A5" i="3"/>
  <c r="A6" i="3"/>
  <c r="A7" i="3"/>
  <c r="A8" i="3"/>
  <c r="A9" i="3"/>
  <c r="A10" i="3"/>
  <c r="A11" i="3"/>
  <c r="A12" i="3"/>
  <c r="A13" i="3"/>
  <c r="A14" i="3"/>
  <c r="A3" i="3"/>
  <c r="C2" i="3"/>
  <c r="D2" i="3"/>
  <c r="E2" i="3"/>
  <c r="F2" i="3"/>
  <c r="B2" i="3"/>
  <c r="S56" i="4"/>
  <c r="A52" i="3" s="1"/>
  <c r="S57" i="4"/>
  <c r="A53" i="3" s="1"/>
  <c r="S58" i="4"/>
  <c r="A54" i="3" s="1"/>
  <c r="S59" i="4"/>
  <c r="A55" i="3" s="1"/>
  <c r="S60" i="4"/>
  <c r="A56" i="3" s="1"/>
  <c r="S61" i="4"/>
  <c r="A57" i="3" s="1"/>
  <c r="S62" i="4"/>
  <c r="A58" i="3" s="1"/>
  <c r="S63" i="4"/>
  <c r="A59" i="3" s="1"/>
  <c r="S64" i="4"/>
  <c r="A60" i="3" s="1"/>
  <c r="S65" i="4"/>
  <c r="A61" i="3" s="1"/>
  <c r="S66" i="4"/>
  <c r="A62" i="3" s="1"/>
  <c r="S67" i="4"/>
  <c r="A63" i="3" s="1"/>
  <c r="S68" i="4"/>
  <c r="A64" i="3" s="1"/>
  <c r="S69" i="4"/>
  <c r="A65" i="3" s="1"/>
  <c r="S70" i="4"/>
  <c r="A66" i="3" s="1"/>
  <c r="S71" i="4"/>
  <c r="A67" i="3" s="1"/>
  <c r="S72" i="4"/>
  <c r="A68" i="3" s="1"/>
  <c r="S73" i="4"/>
  <c r="A69" i="3" s="1"/>
  <c r="S74" i="4"/>
  <c r="A70" i="3" s="1"/>
  <c r="S75" i="4"/>
  <c r="A71" i="3" s="1"/>
  <c r="S76" i="4"/>
  <c r="A72" i="3" s="1"/>
  <c r="S77" i="4"/>
  <c r="A73" i="3" s="1"/>
  <c r="S78" i="4"/>
  <c r="A74" i="3" s="1"/>
  <c r="S79" i="4"/>
  <c r="A75" i="3" s="1"/>
  <c r="S80" i="4"/>
  <c r="A76" i="3" s="1"/>
  <c r="S81" i="4"/>
  <c r="A77" i="3" s="1"/>
  <c r="S82" i="4"/>
  <c r="A78" i="3" s="1"/>
  <c r="S83" i="4"/>
  <c r="A79" i="3" s="1"/>
  <c r="S84" i="4"/>
  <c r="A80" i="3" s="1"/>
  <c r="S85" i="4"/>
  <c r="A81" i="3" s="1"/>
  <c r="S86" i="4"/>
  <c r="A82" i="3" s="1"/>
  <c r="S87" i="4"/>
  <c r="A83" i="3" s="1"/>
  <c r="S88" i="4"/>
  <c r="A84" i="3" s="1"/>
  <c r="S89" i="4"/>
  <c r="A85" i="3" s="1"/>
  <c r="S90" i="4"/>
  <c r="A86" i="3" s="1"/>
  <c r="S91" i="4"/>
  <c r="A87" i="3" s="1"/>
  <c r="S92" i="4"/>
  <c r="A88" i="3" s="1"/>
  <c r="S93" i="4"/>
  <c r="A89" i="3" s="1"/>
  <c r="S94" i="4"/>
  <c r="A90" i="3" s="1"/>
  <c r="S95" i="4"/>
  <c r="A91" i="3" s="1"/>
  <c r="S96" i="4"/>
  <c r="A92" i="3" s="1"/>
  <c r="S97" i="4"/>
  <c r="A93" i="3" s="1"/>
  <c r="S98" i="4"/>
  <c r="A94" i="3" s="1"/>
  <c r="S99" i="4"/>
  <c r="A95" i="3" s="1"/>
  <c r="S100" i="4"/>
  <c r="A96" i="3" s="1"/>
  <c r="S101" i="4"/>
  <c r="A97" i="3" s="1"/>
  <c r="S102" i="4"/>
  <c r="A98" i="3" s="1"/>
  <c r="S103" i="4"/>
  <c r="A99" i="3" s="1"/>
  <c r="S104" i="4"/>
  <c r="A100" i="3" s="1"/>
  <c r="S105" i="4"/>
  <c r="A101" i="3" s="1"/>
  <c r="S106" i="4"/>
  <c r="A102" i="3" s="1"/>
  <c r="S107" i="4"/>
  <c r="A103" i="3" s="1"/>
  <c r="S108" i="4"/>
  <c r="A104" i="3" s="1"/>
  <c r="S109" i="4"/>
  <c r="A105" i="3" s="1"/>
  <c r="S110" i="4"/>
  <c r="A106" i="3" s="1"/>
  <c r="S111" i="4"/>
  <c r="A107" i="3" s="1"/>
  <c r="S112" i="4"/>
  <c r="A108" i="3" s="1"/>
  <c r="S113" i="4"/>
  <c r="A109" i="3" s="1"/>
  <c r="S114" i="4"/>
  <c r="A110" i="3" s="1"/>
  <c r="S115" i="4"/>
  <c r="A111" i="3" s="1"/>
  <c r="S116" i="4"/>
  <c r="A112" i="3" s="1"/>
  <c r="S117" i="4"/>
  <c r="A113" i="3" s="1"/>
  <c r="S118" i="4"/>
  <c r="A114" i="3" s="1"/>
  <c r="S119" i="4"/>
  <c r="A115" i="3" s="1"/>
  <c r="S120" i="4"/>
  <c r="A116" i="3" s="1"/>
  <c r="S121" i="4"/>
  <c r="A117" i="3" s="1"/>
  <c r="S122" i="4"/>
  <c r="A118" i="3" s="1"/>
  <c r="S123" i="4"/>
  <c r="A119" i="3" s="1"/>
  <c r="S124" i="4"/>
  <c r="A120" i="3" s="1"/>
  <c r="S125" i="4"/>
  <c r="A121" i="3" s="1"/>
  <c r="S126" i="4"/>
  <c r="A122" i="3" s="1"/>
  <c r="S127" i="4"/>
  <c r="A123" i="3" s="1"/>
  <c r="S128" i="4"/>
  <c r="A124" i="3" s="1"/>
  <c r="S129" i="4"/>
  <c r="A125" i="3" s="1"/>
  <c r="S130" i="4"/>
  <c r="A126" i="3" s="1"/>
  <c r="S131" i="4"/>
  <c r="A127" i="3" s="1"/>
  <c r="S132" i="4"/>
  <c r="A128" i="3" s="1"/>
  <c r="S133" i="4"/>
  <c r="A129" i="3" s="1"/>
  <c r="S134" i="4"/>
  <c r="A130" i="3" s="1"/>
  <c r="S135" i="4"/>
  <c r="A131" i="3" s="1"/>
  <c r="S136" i="4"/>
  <c r="A132" i="3" s="1"/>
  <c r="S137" i="4"/>
  <c r="A133" i="3" s="1"/>
  <c r="S138" i="4"/>
  <c r="A134" i="3" s="1"/>
  <c r="S139" i="4"/>
  <c r="A135" i="3" s="1"/>
  <c r="S140" i="4"/>
  <c r="A136" i="3" s="1"/>
  <c r="S141" i="4"/>
  <c r="A137" i="3" s="1"/>
  <c r="S142" i="4"/>
  <c r="A138" i="3" s="1"/>
  <c r="S143" i="4"/>
  <c r="A139" i="3" s="1"/>
  <c r="S144" i="4"/>
  <c r="A140" i="3" s="1"/>
  <c r="S145" i="4"/>
  <c r="A141" i="3" s="1"/>
  <c r="S146" i="4"/>
  <c r="A142" i="3" s="1"/>
  <c r="S147" i="4"/>
  <c r="A143" i="3" s="1"/>
  <c r="S148" i="4"/>
  <c r="A144" i="3" s="1"/>
  <c r="S149" i="4"/>
  <c r="A145" i="3" s="1"/>
  <c r="S55" i="4"/>
  <c r="A51" i="3" s="1"/>
  <c r="S43" i="4"/>
  <c r="A19" i="3" s="1"/>
  <c r="S44" i="4"/>
  <c r="A20" i="3" s="1"/>
  <c r="S45" i="4"/>
  <c r="A21" i="3" s="1"/>
  <c r="S46" i="4"/>
  <c r="A22" i="3" s="1"/>
  <c r="S47" i="4"/>
  <c r="A23" i="3" s="1"/>
  <c r="S48" i="4"/>
  <c r="A24" i="3" s="1"/>
  <c r="S49" i="4"/>
  <c r="A25" i="3" s="1"/>
  <c r="S50" i="4"/>
  <c r="A26" i="3" s="1"/>
  <c r="S51" i="4"/>
  <c r="A27" i="3" s="1"/>
  <c r="S42" i="4"/>
  <c r="A18" i="3" s="1"/>
  <c r="M53" i="3"/>
  <c r="M54" i="3"/>
  <c r="M55" i="3"/>
  <c r="M56" i="3"/>
  <c r="M73" i="3"/>
  <c r="M74" i="3"/>
  <c r="M75" i="3"/>
  <c r="M76" i="3"/>
  <c r="M86" i="3"/>
  <c r="M93" i="3"/>
  <c r="M94" i="3"/>
  <c r="M95" i="3"/>
  <c r="M96" i="3"/>
  <c r="M113" i="3"/>
  <c r="M114" i="3"/>
  <c r="M115" i="3"/>
  <c r="M116" i="3"/>
  <c r="M133" i="3"/>
  <c r="M134" i="3"/>
  <c r="M135" i="3"/>
  <c r="M136" i="3"/>
  <c r="L57" i="3"/>
  <c r="L58" i="3"/>
  <c r="L59" i="3"/>
  <c r="L60" i="3"/>
  <c r="L62" i="3"/>
  <c r="L63" i="3"/>
  <c r="L64" i="3"/>
  <c r="L65" i="3"/>
  <c r="L66" i="3"/>
  <c r="L67" i="3"/>
  <c r="L77" i="3"/>
  <c r="L78" i="3"/>
  <c r="L79" i="3"/>
  <c r="L80" i="3"/>
  <c r="L82" i="3"/>
  <c r="L83" i="3"/>
  <c r="L84" i="3"/>
  <c r="L85" i="3"/>
  <c r="L86" i="3"/>
  <c r="L87" i="3"/>
  <c r="L97" i="3"/>
  <c r="L98" i="3"/>
  <c r="L99" i="3"/>
  <c r="L100" i="3"/>
  <c r="L102" i="3"/>
  <c r="L103" i="3"/>
  <c r="L104" i="3"/>
  <c r="L105" i="3"/>
  <c r="L106" i="3"/>
  <c r="L107" i="3"/>
  <c r="L117" i="3"/>
  <c r="L118" i="3"/>
  <c r="L119" i="3"/>
  <c r="L120" i="3"/>
  <c r="L122" i="3"/>
  <c r="L123" i="3"/>
  <c r="L124" i="3"/>
  <c r="L125" i="3"/>
  <c r="L126" i="3"/>
  <c r="L127" i="3"/>
  <c r="L137" i="3"/>
  <c r="L138" i="3"/>
  <c r="L139" i="3"/>
  <c r="L140" i="3"/>
  <c r="L142" i="3"/>
  <c r="L143" i="3"/>
  <c r="L144" i="3"/>
  <c r="L145" i="3"/>
  <c r="K53" i="3"/>
  <c r="K54" i="3"/>
  <c r="K55" i="3"/>
  <c r="K56" i="3"/>
  <c r="K57" i="3"/>
  <c r="K58" i="3"/>
  <c r="K67" i="3"/>
  <c r="K68" i="3"/>
  <c r="K69" i="3"/>
  <c r="K70" i="3"/>
  <c r="K71" i="3"/>
  <c r="K72" i="3"/>
  <c r="K73" i="3"/>
  <c r="K74" i="3"/>
  <c r="K75" i="3"/>
  <c r="K76" i="3"/>
  <c r="K77" i="3"/>
  <c r="K78" i="3"/>
  <c r="K87" i="3"/>
  <c r="K88" i="3"/>
  <c r="K89" i="3"/>
  <c r="K90" i="3"/>
  <c r="K91" i="3"/>
  <c r="K92" i="3"/>
  <c r="K93" i="3"/>
  <c r="K94" i="3"/>
  <c r="K95" i="3"/>
  <c r="K96" i="3"/>
  <c r="K97" i="3"/>
  <c r="K98" i="3"/>
  <c r="K107" i="3"/>
  <c r="K108" i="3"/>
  <c r="K109" i="3"/>
  <c r="K110" i="3"/>
  <c r="K111" i="3"/>
  <c r="K112" i="3"/>
  <c r="K113" i="3"/>
  <c r="K114" i="3"/>
  <c r="K115" i="3"/>
  <c r="K116" i="3"/>
  <c r="K117" i="3"/>
  <c r="K118" i="3"/>
  <c r="K127" i="3"/>
  <c r="K128" i="3"/>
  <c r="K129" i="3"/>
  <c r="K130" i="3"/>
  <c r="K131" i="3"/>
  <c r="K132" i="3"/>
  <c r="K133" i="3"/>
  <c r="K134" i="3"/>
  <c r="K135" i="3"/>
  <c r="K136" i="3"/>
  <c r="K137" i="3"/>
  <c r="K138" i="3"/>
  <c r="J53" i="3"/>
  <c r="J55" i="3"/>
  <c r="J56" i="3"/>
  <c r="J57" i="3"/>
  <c r="J58" i="3"/>
  <c r="J119" i="3"/>
  <c r="J121" i="3"/>
  <c r="I52" i="3"/>
  <c r="I53" i="3"/>
  <c r="I54" i="3"/>
  <c r="I55" i="3"/>
  <c r="I56" i="3"/>
  <c r="I57" i="3"/>
  <c r="I59" i="3"/>
  <c r="I60" i="3"/>
  <c r="I61" i="3"/>
  <c r="I62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H52" i="3"/>
  <c r="H53" i="3"/>
  <c r="H56" i="3"/>
  <c r="H66" i="3"/>
  <c r="H67" i="3"/>
  <c r="H68" i="3"/>
  <c r="H69" i="3"/>
  <c r="H70" i="3"/>
  <c r="H71" i="3"/>
  <c r="H72" i="3"/>
  <c r="H73" i="3"/>
  <c r="H74" i="3"/>
  <c r="H86" i="3"/>
  <c r="H87" i="3"/>
  <c r="H88" i="3"/>
  <c r="H89" i="3"/>
  <c r="H90" i="3"/>
  <c r="H91" i="3"/>
  <c r="H92" i="3"/>
  <c r="H93" i="3"/>
  <c r="H94" i="3"/>
  <c r="H106" i="3"/>
  <c r="H107" i="3"/>
  <c r="H108" i="3"/>
  <c r="H109" i="3"/>
  <c r="H110" i="3"/>
  <c r="H111" i="3"/>
  <c r="H112" i="3"/>
  <c r="H113" i="3"/>
  <c r="H114" i="3"/>
  <c r="H126" i="3"/>
  <c r="H127" i="3"/>
  <c r="H128" i="3"/>
  <c r="H129" i="3"/>
  <c r="H130" i="3"/>
  <c r="H131" i="3"/>
  <c r="H132" i="3"/>
  <c r="H133" i="3"/>
  <c r="H134" i="3"/>
  <c r="G53" i="3"/>
  <c r="G54" i="3"/>
  <c r="G55" i="3"/>
  <c r="G62" i="3"/>
  <c r="G134" i="3"/>
  <c r="F52" i="3"/>
  <c r="F53" i="3"/>
  <c r="F54" i="3"/>
  <c r="F55" i="3"/>
  <c r="F56" i="3"/>
  <c r="F57" i="3"/>
  <c r="F68" i="3"/>
  <c r="F69" i="3"/>
  <c r="F70" i="3"/>
  <c r="F71" i="3"/>
  <c r="F72" i="3"/>
  <c r="F73" i="3"/>
  <c r="F74" i="3"/>
  <c r="F75" i="3"/>
  <c r="F76" i="3"/>
  <c r="F77" i="3"/>
  <c r="F88" i="3"/>
  <c r="F89" i="3"/>
  <c r="F90" i="3"/>
  <c r="F91" i="3"/>
  <c r="F92" i="3"/>
  <c r="F93" i="3"/>
  <c r="F94" i="3"/>
  <c r="F95" i="3"/>
  <c r="F96" i="3"/>
  <c r="F97" i="3"/>
  <c r="F108" i="3"/>
  <c r="F109" i="3"/>
  <c r="F110" i="3"/>
  <c r="F111" i="3"/>
  <c r="F112" i="3"/>
  <c r="F113" i="3"/>
  <c r="F114" i="3"/>
  <c r="F115" i="3"/>
  <c r="F116" i="3"/>
  <c r="F117" i="3"/>
  <c r="F128" i="3"/>
  <c r="F129" i="3"/>
  <c r="F130" i="3"/>
  <c r="F131" i="3"/>
  <c r="F132" i="3"/>
  <c r="F133" i="3"/>
  <c r="F134" i="3"/>
  <c r="F135" i="3"/>
  <c r="F136" i="3"/>
  <c r="F137" i="3"/>
  <c r="E55" i="3"/>
  <c r="E57" i="3"/>
  <c r="E58" i="3"/>
  <c r="E59" i="3"/>
  <c r="E60" i="3"/>
  <c r="E66" i="3"/>
  <c r="E67" i="3"/>
  <c r="E68" i="3"/>
  <c r="E69" i="3"/>
  <c r="E75" i="3"/>
  <c r="E77" i="3"/>
  <c r="E78" i="3"/>
  <c r="E79" i="3"/>
  <c r="E80" i="3"/>
  <c r="E86" i="3"/>
  <c r="E87" i="3"/>
  <c r="E88" i="3"/>
  <c r="E89" i="3"/>
  <c r="E95" i="3"/>
  <c r="E97" i="3"/>
  <c r="E98" i="3"/>
  <c r="E99" i="3"/>
  <c r="E100" i="3"/>
  <c r="E106" i="3"/>
  <c r="E107" i="3"/>
  <c r="E108" i="3"/>
  <c r="E109" i="3"/>
  <c r="E115" i="3"/>
  <c r="E117" i="3"/>
  <c r="E118" i="3"/>
  <c r="E119" i="3"/>
  <c r="E120" i="3"/>
  <c r="E126" i="3"/>
  <c r="E127" i="3"/>
  <c r="E128" i="3"/>
  <c r="E129" i="3"/>
  <c r="E135" i="3"/>
  <c r="E137" i="3"/>
  <c r="E138" i="3"/>
  <c r="E139" i="3"/>
  <c r="E140" i="3"/>
  <c r="AE56" i="4"/>
  <c r="M52" i="3" s="1"/>
  <c r="AE57" i="4"/>
  <c r="AE58" i="4"/>
  <c r="AE59" i="4"/>
  <c r="AE60" i="4"/>
  <c r="AE61" i="4"/>
  <c r="M57" i="3" s="1"/>
  <c r="AE62" i="4"/>
  <c r="M58" i="3" s="1"/>
  <c r="AE63" i="4"/>
  <c r="M59" i="3" s="1"/>
  <c r="AE64" i="4"/>
  <c r="M60" i="3" s="1"/>
  <c r="AE65" i="4"/>
  <c r="M61" i="3" s="1"/>
  <c r="AE66" i="4"/>
  <c r="M62" i="3" s="1"/>
  <c r="AE67" i="4"/>
  <c r="M63" i="3" s="1"/>
  <c r="AE68" i="4"/>
  <c r="M64" i="3" s="1"/>
  <c r="AE69" i="4"/>
  <c r="M65" i="3" s="1"/>
  <c r="AE70" i="4"/>
  <c r="M66" i="3" s="1"/>
  <c r="AE71" i="4"/>
  <c r="M67" i="3" s="1"/>
  <c r="AE72" i="4"/>
  <c r="M68" i="3" s="1"/>
  <c r="AE73" i="4"/>
  <c r="M69" i="3" s="1"/>
  <c r="AE74" i="4"/>
  <c r="M70" i="3" s="1"/>
  <c r="AE75" i="4"/>
  <c r="M71" i="3" s="1"/>
  <c r="AE76" i="4"/>
  <c r="M72" i="3" s="1"/>
  <c r="AE77" i="4"/>
  <c r="AE78" i="4"/>
  <c r="AE79" i="4"/>
  <c r="AE80" i="4"/>
  <c r="AE81" i="4"/>
  <c r="M77" i="3" s="1"/>
  <c r="AE82" i="4"/>
  <c r="M78" i="3" s="1"/>
  <c r="AE83" i="4"/>
  <c r="M79" i="3" s="1"/>
  <c r="AE84" i="4"/>
  <c r="M80" i="3" s="1"/>
  <c r="AE85" i="4"/>
  <c r="M81" i="3" s="1"/>
  <c r="AE86" i="4"/>
  <c r="M82" i="3" s="1"/>
  <c r="AE87" i="4"/>
  <c r="M83" i="3" s="1"/>
  <c r="AE88" i="4"/>
  <c r="M84" i="3" s="1"/>
  <c r="AE89" i="4"/>
  <c r="M85" i="3" s="1"/>
  <c r="AE90" i="4"/>
  <c r="AE91" i="4"/>
  <c r="M87" i="3" s="1"/>
  <c r="AE92" i="4"/>
  <c r="M88" i="3" s="1"/>
  <c r="AE93" i="4"/>
  <c r="M89" i="3" s="1"/>
  <c r="AE94" i="4"/>
  <c r="M90" i="3" s="1"/>
  <c r="AE95" i="4"/>
  <c r="M91" i="3" s="1"/>
  <c r="AE96" i="4"/>
  <c r="M92" i="3" s="1"/>
  <c r="AE97" i="4"/>
  <c r="AE98" i="4"/>
  <c r="AE99" i="4"/>
  <c r="AE100" i="4"/>
  <c r="AE101" i="4"/>
  <c r="M97" i="3" s="1"/>
  <c r="AE102" i="4"/>
  <c r="M98" i="3" s="1"/>
  <c r="AE103" i="4"/>
  <c r="M99" i="3" s="1"/>
  <c r="AE104" i="4"/>
  <c r="M100" i="3" s="1"/>
  <c r="AE105" i="4"/>
  <c r="M101" i="3" s="1"/>
  <c r="AE106" i="4"/>
  <c r="M102" i="3" s="1"/>
  <c r="AE107" i="4"/>
  <c r="M103" i="3" s="1"/>
  <c r="AE108" i="4"/>
  <c r="M104" i="3" s="1"/>
  <c r="AE109" i="4"/>
  <c r="M105" i="3" s="1"/>
  <c r="AE110" i="4"/>
  <c r="M106" i="3" s="1"/>
  <c r="AE111" i="4"/>
  <c r="M107" i="3" s="1"/>
  <c r="AE112" i="4"/>
  <c r="M108" i="3" s="1"/>
  <c r="AE113" i="4"/>
  <c r="M109" i="3" s="1"/>
  <c r="AE114" i="4"/>
  <c r="M110" i="3" s="1"/>
  <c r="AE115" i="4"/>
  <c r="M111" i="3" s="1"/>
  <c r="AE116" i="4"/>
  <c r="M112" i="3" s="1"/>
  <c r="AE117" i="4"/>
  <c r="AE118" i="4"/>
  <c r="AE119" i="4"/>
  <c r="AE120" i="4"/>
  <c r="AE121" i="4"/>
  <c r="M117" i="3" s="1"/>
  <c r="AE122" i="4"/>
  <c r="M118" i="3" s="1"/>
  <c r="AE123" i="4"/>
  <c r="M119" i="3" s="1"/>
  <c r="AE124" i="4"/>
  <c r="M120" i="3" s="1"/>
  <c r="AE125" i="4"/>
  <c r="M121" i="3" s="1"/>
  <c r="AE126" i="4"/>
  <c r="M122" i="3" s="1"/>
  <c r="AE127" i="4"/>
  <c r="M123" i="3" s="1"/>
  <c r="AE128" i="4"/>
  <c r="M124" i="3" s="1"/>
  <c r="AE129" i="4"/>
  <c r="M125" i="3" s="1"/>
  <c r="AE130" i="4"/>
  <c r="M126" i="3" s="1"/>
  <c r="AE131" i="4"/>
  <c r="M127" i="3" s="1"/>
  <c r="AE132" i="4"/>
  <c r="M128" i="3" s="1"/>
  <c r="AE133" i="4"/>
  <c r="M129" i="3" s="1"/>
  <c r="AE134" i="4"/>
  <c r="M130" i="3" s="1"/>
  <c r="AE135" i="4"/>
  <c r="M131" i="3" s="1"/>
  <c r="AE136" i="4"/>
  <c r="M132" i="3" s="1"/>
  <c r="AE137" i="4"/>
  <c r="AE138" i="4"/>
  <c r="AE139" i="4"/>
  <c r="AE140" i="4"/>
  <c r="AE141" i="4"/>
  <c r="M137" i="3" s="1"/>
  <c r="AE142" i="4"/>
  <c r="M138" i="3" s="1"/>
  <c r="AE143" i="4"/>
  <c r="M139" i="3" s="1"/>
  <c r="AE144" i="4"/>
  <c r="M140" i="3" s="1"/>
  <c r="AE145" i="4"/>
  <c r="M141" i="3" s="1"/>
  <c r="AE146" i="4"/>
  <c r="M142" i="3" s="1"/>
  <c r="AE147" i="4"/>
  <c r="M143" i="3" s="1"/>
  <c r="AE148" i="4"/>
  <c r="M144" i="3" s="1"/>
  <c r="AE149" i="4"/>
  <c r="M145" i="3" s="1"/>
  <c r="AE55" i="4"/>
  <c r="M51" i="3" s="1"/>
  <c r="AD56" i="4"/>
  <c r="L52" i="3" s="1"/>
  <c r="AD57" i="4"/>
  <c r="L53" i="3" s="1"/>
  <c r="AD58" i="4"/>
  <c r="L54" i="3" s="1"/>
  <c r="AD59" i="4"/>
  <c r="L55" i="3" s="1"/>
  <c r="AD60" i="4"/>
  <c r="L56" i="3" s="1"/>
  <c r="AD61" i="4"/>
  <c r="AD62" i="4"/>
  <c r="AD63" i="4"/>
  <c r="AD64" i="4"/>
  <c r="AD65" i="4"/>
  <c r="L61" i="3" s="1"/>
  <c r="AD66" i="4"/>
  <c r="AD67" i="4"/>
  <c r="AD68" i="4"/>
  <c r="AD69" i="4"/>
  <c r="AD70" i="4"/>
  <c r="AD71" i="4"/>
  <c r="AD72" i="4"/>
  <c r="L68" i="3" s="1"/>
  <c r="AD73" i="4"/>
  <c r="L69" i="3" s="1"/>
  <c r="AD74" i="4"/>
  <c r="L70" i="3" s="1"/>
  <c r="AD75" i="4"/>
  <c r="L71" i="3" s="1"/>
  <c r="AD76" i="4"/>
  <c r="L72" i="3" s="1"/>
  <c r="AD77" i="4"/>
  <c r="L73" i="3" s="1"/>
  <c r="AD78" i="4"/>
  <c r="L74" i="3" s="1"/>
  <c r="AD79" i="4"/>
  <c r="L75" i="3" s="1"/>
  <c r="AD80" i="4"/>
  <c r="L76" i="3" s="1"/>
  <c r="AD81" i="4"/>
  <c r="AD82" i="4"/>
  <c r="AD83" i="4"/>
  <c r="AD84" i="4"/>
  <c r="AD85" i="4"/>
  <c r="L81" i="3" s="1"/>
  <c r="AD86" i="4"/>
  <c r="AD87" i="4"/>
  <c r="AD88" i="4"/>
  <c r="AD89" i="4"/>
  <c r="AD90" i="4"/>
  <c r="AD91" i="4"/>
  <c r="AD92" i="4"/>
  <c r="L88" i="3" s="1"/>
  <c r="AD93" i="4"/>
  <c r="L89" i="3" s="1"/>
  <c r="AD94" i="4"/>
  <c r="L90" i="3" s="1"/>
  <c r="AD95" i="4"/>
  <c r="L91" i="3" s="1"/>
  <c r="AD96" i="4"/>
  <c r="L92" i="3" s="1"/>
  <c r="AD97" i="4"/>
  <c r="L93" i="3" s="1"/>
  <c r="AD98" i="4"/>
  <c r="L94" i="3" s="1"/>
  <c r="AD99" i="4"/>
  <c r="L95" i="3" s="1"/>
  <c r="AD100" i="4"/>
  <c r="L96" i="3" s="1"/>
  <c r="AD101" i="4"/>
  <c r="AD102" i="4"/>
  <c r="AD103" i="4"/>
  <c r="AD104" i="4"/>
  <c r="AD105" i="4"/>
  <c r="L101" i="3" s="1"/>
  <c r="AD106" i="4"/>
  <c r="AD107" i="4"/>
  <c r="AD108" i="4"/>
  <c r="AD109" i="4"/>
  <c r="AD110" i="4"/>
  <c r="AD111" i="4"/>
  <c r="AD112" i="4"/>
  <c r="L108" i="3" s="1"/>
  <c r="AD113" i="4"/>
  <c r="L109" i="3" s="1"/>
  <c r="AD114" i="4"/>
  <c r="L110" i="3" s="1"/>
  <c r="AD115" i="4"/>
  <c r="L111" i="3" s="1"/>
  <c r="AD116" i="4"/>
  <c r="L112" i="3" s="1"/>
  <c r="AD117" i="4"/>
  <c r="L113" i="3" s="1"/>
  <c r="AD118" i="4"/>
  <c r="L114" i="3" s="1"/>
  <c r="AD119" i="4"/>
  <c r="L115" i="3" s="1"/>
  <c r="AD120" i="4"/>
  <c r="L116" i="3" s="1"/>
  <c r="AD121" i="4"/>
  <c r="AD122" i="4"/>
  <c r="AD123" i="4"/>
  <c r="AD124" i="4"/>
  <c r="AD125" i="4"/>
  <c r="L121" i="3" s="1"/>
  <c r="AD126" i="4"/>
  <c r="AD127" i="4"/>
  <c r="AD128" i="4"/>
  <c r="AD129" i="4"/>
  <c r="AD130" i="4"/>
  <c r="AD131" i="4"/>
  <c r="AD132" i="4"/>
  <c r="L128" i="3" s="1"/>
  <c r="AD133" i="4"/>
  <c r="L129" i="3" s="1"/>
  <c r="AD134" i="4"/>
  <c r="L130" i="3" s="1"/>
  <c r="AD135" i="4"/>
  <c r="L131" i="3" s="1"/>
  <c r="AD136" i="4"/>
  <c r="L132" i="3" s="1"/>
  <c r="AD137" i="4"/>
  <c r="L133" i="3" s="1"/>
  <c r="AD138" i="4"/>
  <c r="L134" i="3" s="1"/>
  <c r="AD139" i="4"/>
  <c r="L135" i="3" s="1"/>
  <c r="AD140" i="4"/>
  <c r="L136" i="3" s="1"/>
  <c r="AD141" i="4"/>
  <c r="AD142" i="4"/>
  <c r="AD143" i="4"/>
  <c r="AD144" i="4"/>
  <c r="AD145" i="4"/>
  <c r="L141" i="3" s="1"/>
  <c r="AD146" i="4"/>
  <c r="AD147" i="4"/>
  <c r="AD148" i="4"/>
  <c r="AD149" i="4"/>
  <c r="AD55" i="4"/>
  <c r="L51" i="3" s="1"/>
  <c r="AC56" i="4"/>
  <c r="K52" i="3" s="1"/>
  <c r="AC57" i="4"/>
  <c r="AC58" i="4"/>
  <c r="AC59" i="4"/>
  <c r="AC60" i="4"/>
  <c r="AC61" i="4"/>
  <c r="AC62" i="4"/>
  <c r="AC63" i="4"/>
  <c r="K59" i="3" s="1"/>
  <c r="AC64" i="4"/>
  <c r="K60" i="3" s="1"/>
  <c r="AC65" i="4"/>
  <c r="K61" i="3" s="1"/>
  <c r="AC66" i="4"/>
  <c r="K62" i="3" s="1"/>
  <c r="AC67" i="4"/>
  <c r="K63" i="3" s="1"/>
  <c r="AC68" i="4"/>
  <c r="K64" i="3" s="1"/>
  <c r="AC69" i="4"/>
  <c r="K65" i="3" s="1"/>
  <c r="AC70" i="4"/>
  <c r="K66" i="3" s="1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K79" i="3" s="1"/>
  <c r="AC84" i="4"/>
  <c r="K80" i="3" s="1"/>
  <c r="AC85" i="4"/>
  <c r="K81" i="3" s="1"/>
  <c r="AC86" i="4"/>
  <c r="K82" i="3" s="1"/>
  <c r="AC87" i="4"/>
  <c r="K83" i="3" s="1"/>
  <c r="AC88" i="4"/>
  <c r="K84" i="3" s="1"/>
  <c r="AC89" i="4"/>
  <c r="K85" i="3" s="1"/>
  <c r="AC90" i="4"/>
  <c r="K86" i="3" s="1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K99" i="3" s="1"/>
  <c r="AC104" i="4"/>
  <c r="K100" i="3" s="1"/>
  <c r="AC105" i="4"/>
  <c r="K101" i="3" s="1"/>
  <c r="AC106" i="4"/>
  <c r="K102" i="3" s="1"/>
  <c r="AC107" i="4"/>
  <c r="K103" i="3" s="1"/>
  <c r="AC108" i="4"/>
  <c r="K104" i="3" s="1"/>
  <c r="AC109" i="4"/>
  <c r="K105" i="3" s="1"/>
  <c r="AC110" i="4"/>
  <c r="K106" i="3" s="1"/>
  <c r="AC111" i="4"/>
  <c r="AC112" i="4"/>
  <c r="AC113" i="4"/>
  <c r="AC114" i="4"/>
  <c r="AC115" i="4"/>
  <c r="AC116" i="4"/>
  <c r="AC117" i="4"/>
  <c r="AC118" i="4"/>
  <c r="AC119" i="4"/>
  <c r="AC120" i="4"/>
  <c r="AC121" i="4"/>
  <c r="AC122" i="4"/>
  <c r="AC123" i="4"/>
  <c r="K119" i="3" s="1"/>
  <c r="AC124" i="4"/>
  <c r="K120" i="3" s="1"/>
  <c r="AC125" i="4"/>
  <c r="K121" i="3" s="1"/>
  <c r="AC126" i="4"/>
  <c r="K122" i="3" s="1"/>
  <c r="AC127" i="4"/>
  <c r="K123" i="3" s="1"/>
  <c r="AC128" i="4"/>
  <c r="K124" i="3" s="1"/>
  <c r="AC129" i="4"/>
  <c r="K125" i="3" s="1"/>
  <c r="AC130" i="4"/>
  <c r="K126" i="3" s="1"/>
  <c r="AC131" i="4"/>
  <c r="AC132" i="4"/>
  <c r="AC133" i="4"/>
  <c r="AC134" i="4"/>
  <c r="AC135" i="4"/>
  <c r="AC136" i="4"/>
  <c r="AC137" i="4"/>
  <c r="AC138" i="4"/>
  <c r="AC139" i="4"/>
  <c r="AC140" i="4"/>
  <c r="AC141" i="4"/>
  <c r="AC142" i="4"/>
  <c r="AC143" i="4"/>
  <c r="K139" i="3" s="1"/>
  <c r="AC144" i="4"/>
  <c r="K140" i="3" s="1"/>
  <c r="AC145" i="4"/>
  <c r="K141" i="3" s="1"/>
  <c r="AC146" i="4"/>
  <c r="K142" i="3" s="1"/>
  <c r="AC147" i="4"/>
  <c r="K143" i="3" s="1"/>
  <c r="AC148" i="4"/>
  <c r="K144" i="3" s="1"/>
  <c r="AC149" i="4"/>
  <c r="K145" i="3" s="1"/>
  <c r="AC55" i="4"/>
  <c r="K51" i="3" s="1"/>
  <c r="AB56" i="4"/>
  <c r="J52" i="3" s="1"/>
  <c r="AB57" i="4"/>
  <c r="AB58" i="4"/>
  <c r="J54" i="3" s="1"/>
  <c r="AB59" i="4"/>
  <c r="AB60" i="4"/>
  <c r="AB61" i="4"/>
  <c r="AB62" i="4"/>
  <c r="AB63" i="4"/>
  <c r="J59" i="3" s="1"/>
  <c r="AB64" i="4"/>
  <c r="J60" i="3" s="1"/>
  <c r="AB65" i="4"/>
  <c r="J61" i="3" s="1"/>
  <c r="AB66" i="4"/>
  <c r="J62" i="3" s="1"/>
  <c r="AB67" i="4"/>
  <c r="J63" i="3" s="1"/>
  <c r="AB68" i="4"/>
  <c r="J64" i="3" s="1"/>
  <c r="AB69" i="4"/>
  <c r="J65" i="3" s="1"/>
  <c r="AB70" i="4"/>
  <c r="J66" i="3" s="1"/>
  <c r="AB71" i="4"/>
  <c r="J67" i="3" s="1"/>
  <c r="AB72" i="4"/>
  <c r="J68" i="3" s="1"/>
  <c r="AB73" i="4"/>
  <c r="J69" i="3" s="1"/>
  <c r="AB74" i="4"/>
  <c r="J70" i="3" s="1"/>
  <c r="AB75" i="4"/>
  <c r="J71" i="3" s="1"/>
  <c r="AB76" i="4"/>
  <c r="J72" i="3" s="1"/>
  <c r="AB77" i="4"/>
  <c r="J73" i="3" s="1"/>
  <c r="AB78" i="4"/>
  <c r="J74" i="3" s="1"/>
  <c r="AB79" i="4"/>
  <c r="J75" i="3" s="1"/>
  <c r="AB80" i="4"/>
  <c r="J76" i="3" s="1"/>
  <c r="AB81" i="4"/>
  <c r="J77" i="3" s="1"/>
  <c r="AB82" i="4"/>
  <c r="J78" i="3" s="1"/>
  <c r="AB83" i="4"/>
  <c r="J79" i="3" s="1"/>
  <c r="AB84" i="4"/>
  <c r="J80" i="3" s="1"/>
  <c r="AB85" i="4"/>
  <c r="J81" i="3" s="1"/>
  <c r="AB86" i="4"/>
  <c r="J82" i="3" s="1"/>
  <c r="AB87" i="4"/>
  <c r="J83" i="3" s="1"/>
  <c r="AB88" i="4"/>
  <c r="J84" i="3" s="1"/>
  <c r="AB89" i="4"/>
  <c r="J85" i="3" s="1"/>
  <c r="AB90" i="4"/>
  <c r="J86" i="3" s="1"/>
  <c r="AB91" i="4"/>
  <c r="J87" i="3" s="1"/>
  <c r="AB92" i="4"/>
  <c r="J88" i="3" s="1"/>
  <c r="AB93" i="4"/>
  <c r="J89" i="3" s="1"/>
  <c r="AB94" i="4"/>
  <c r="J90" i="3" s="1"/>
  <c r="AB95" i="4"/>
  <c r="J91" i="3" s="1"/>
  <c r="AB96" i="4"/>
  <c r="J92" i="3" s="1"/>
  <c r="AB97" i="4"/>
  <c r="J93" i="3" s="1"/>
  <c r="AB98" i="4"/>
  <c r="J94" i="3" s="1"/>
  <c r="AB99" i="4"/>
  <c r="J95" i="3" s="1"/>
  <c r="AB100" i="4"/>
  <c r="J96" i="3" s="1"/>
  <c r="AB101" i="4"/>
  <c r="J97" i="3" s="1"/>
  <c r="AB102" i="4"/>
  <c r="J98" i="3" s="1"/>
  <c r="AB103" i="4"/>
  <c r="J99" i="3" s="1"/>
  <c r="AB104" i="4"/>
  <c r="J100" i="3" s="1"/>
  <c r="AB105" i="4"/>
  <c r="J101" i="3" s="1"/>
  <c r="AB106" i="4"/>
  <c r="J102" i="3" s="1"/>
  <c r="AB107" i="4"/>
  <c r="J103" i="3" s="1"/>
  <c r="AB108" i="4"/>
  <c r="J104" i="3" s="1"/>
  <c r="AB109" i="4"/>
  <c r="J105" i="3" s="1"/>
  <c r="AB110" i="4"/>
  <c r="J106" i="3" s="1"/>
  <c r="AB111" i="4"/>
  <c r="J107" i="3" s="1"/>
  <c r="AB112" i="4"/>
  <c r="J108" i="3" s="1"/>
  <c r="AB113" i="4"/>
  <c r="J109" i="3" s="1"/>
  <c r="AB114" i="4"/>
  <c r="J110" i="3" s="1"/>
  <c r="AB115" i="4"/>
  <c r="J111" i="3" s="1"/>
  <c r="AB116" i="4"/>
  <c r="J112" i="3" s="1"/>
  <c r="AB117" i="4"/>
  <c r="J113" i="3" s="1"/>
  <c r="AB118" i="4"/>
  <c r="J114" i="3" s="1"/>
  <c r="AB119" i="4"/>
  <c r="J115" i="3" s="1"/>
  <c r="AB120" i="4"/>
  <c r="J116" i="3" s="1"/>
  <c r="AB121" i="4"/>
  <c r="J117" i="3" s="1"/>
  <c r="AB122" i="4"/>
  <c r="J118" i="3" s="1"/>
  <c r="AB123" i="4"/>
  <c r="AB124" i="4"/>
  <c r="J120" i="3" s="1"/>
  <c r="AB125" i="4"/>
  <c r="AB126" i="4"/>
  <c r="J122" i="3" s="1"/>
  <c r="AB127" i="4"/>
  <c r="J123" i="3" s="1"/>
  <c r="AB128" i="4"/>
  <c r="J124" i="3" s="1"/>
  <c r="AB129" i="4"/>
  <c r="J125" i="3" s="1"/>
  <c r="AB130" i="4"/>
  <c r="J126" i="3" s="1"/>
  <c r="AB131" i="4"/>
  <c r="J127" i="3" s="1"/>
  <c r="AB132" i="4"/>
  <c r="J128" i="3" s="1"/>
  <c r="AB133" i="4"/>
  <c r="J129" i="3" s="1"/>
  <c r="AB134" i="4"/>
  <c r="J130" i="3" s="1"/>
  <c r="AB135" i="4"/>
  <c r="J131" i="3" s="1"/>
  <c r="AB136" i="4"/>
  <c r="J132" i="3" s="1"/>
  <c r="AB137" i="4"/>
  <c r="J133" i="3" s="1"/>
  <c r="AB138" i="4"/>
  <c r="J134" i="3" s="1"/>
  <c r="AB139" i="4"/>
  <c r="J135" i="3" s="1"/>
  <c r="AB140" i="4"/>
  <c r="J136" i="3" s="1"/>
  <c r="AB141" i="4"/>
  <c r="J137" i="3" s="1"/>
  <c r="AB142" i="4"/>
  <c r="J138" i="3" s="1"/>
  <c r="AB143" i="4"/>
  <c r="J139" i="3" s="1"/>
  <c r="AB144" i="4"/>
  <c r="J140" i="3" s="1"/>
  <c r="AB145" i="4"/>
  <c r="J141" i="3" s="1"/>
  <c r="AB146" i="4"/>
  <c r="J142" i="3" s="1"/>
  <c r="AB147" i="4"/>
  <c r="J143" i="3" s="1"/>
  <c r="AB148" i="4"/>
  <c r="J144" i="3" s="1"/>
  <c r="AB149" i="4"/>
  <c r="J145" i="3" s="1"/>
  <c r="AB55" i="4"/>
  <c r="J51" i="3" s="1"/>
  <c r="AA56" i="4"/>
  <c r="AA57" i="4"/>
  <c r="AA58" i="4"/>
  <c r="AA59" i="4"/>
  <c r="AA60" i="4"/>
  <c r="AA61" i="4"/>
  <c r="AA62" i="4"/>
  <c r="I58" i="3" s="1"/>
  <c r="AA63" i="4"/>
  <c r="AA64" i="4"/>
  <c r="AA65" i="4"/>
  <c r="AA66" i="4"/>
  <c r="AA67" i="4"/>
  <c r="I63" i="3" s="1"/>
  <c r="AA68" i="4"/>
  <c r="I64" i="3" s="1"/>
  <c r="AA69" i="4"/>
  <c r="I65" i="3" s="1"/>
  <c r="AA70" i="4"/>
  <c r="I66" i="3" s="1"/>
  <c r="AA71" i="4"/>
  <c r="I67" i="3" s="1"/>
  <c r="AA72" i="4"/>
  <c r="I68" i="3" s="1"/>
  <c r="AA73" i="4"/>
  <c r="I69" i="3" s="1"/>
  <c r="AA74" i="4"/>
  <c r="AA75" i="4"/>
  <c r="AA76" i="4"/>
  <c r="AA77" i="4"/>
  <c r="AA78" i="4"/>
  <c r="AA79" i="4"/>
  <c r="AA80" i="4"/>
  <c r="AA81" i="4"/>
  <c r="AA82" i="4"/>
  <c r="AA83" i="4"/>
  <c r="AA84" i="4"/>
  <c r="AA85" i="4"/>
  <c r="AA86" i="4"/>
  <c r="AA87" i="4"/>
  <c r="I83" i="3" s="1"/>
  <c r="AA88" i="4"/>
  <c r="I84" i="3" s="1"/>
  <c r="AA89" i="4"/>
  <c r="I85" i="3" s="1"/>
  <c r="AA90" i="4"/>
  <c r="I86" i="3" s="1"/>
  <c r="AA91" i="4"/>
  <c r="I87" i="3" s="1"/>
  <c r="AA92" i="4"/>
  <c r="I88" i="3" s="1"/>
  <c r="AA93" i="4"/>
  <c r="I89" i="3" s="1"/>
  <c r="AA94" i="4"/>
  <c r="AA95" i="4"/>
  <c r="AA96" i="4"/>
  <c r="AA97" i="4"/>
  <c r="AA98" i="4"/>
  <c r="AA99" i="4"/>
  <c r="AA100" i="4"/>
  <c r="AA101" i="4"/>
  <c r="AA102" i="4"/>
  <c r="AA103" i="4"/>
  <c r="AA104" i="4"/>
  <c r="AA105" i="4"/>
  <c r="AA106" i="4"/>
  <c r="AA107" i="4"/>
  <c r="I103" i="3" s="1"/>
  <c r="AA108" i="4"/>
  <c r="I104" i="3" s="1"/>
  <c r="AA109" i="4"/>
  <c r="I105" i="3" s="1"/>
  <c r="AA110" i="4"/>
  <c r="I106" i="3" s="1"/>
  <c r="AA111" i="4"/>
  <c r="I107" i="3" s="1"/>
  <c r="AA112" i="4"/>
  <c r="I108" i="3" s="1"/>
  <c r="AA113" i="4"/>
  <c r="I109" i="3" s="1"/>
  <c r="AA114" i="4"/>
  <c r="AA115" i="4"/>
  <c r="AA116" i="4"/>
  <c r="AA117" i="4"/>
  <c r="AA118" i="4"/>
  <c r="AA119" i="4"/>
  <c r="AA120" i="4"/>
  <c r="AA121" i="4"/>
  <c r="AA122" i="4"/>
  <c r="AA123" i="4"/>
  <c r="AA124" i="4"/>
  <c r="AA125" i="4"/>
  <c r="AA126" i="4"/>
  <c r="AA127" i="4"/>
  <c r="I123" i="3" s="1"/>
  <c r="AA128" i="4"/>
  <c r="I124" i="3" s="1"/>
  <c r="AA129" i="4"/>
  <c r="I125" i="3" s="1"/>
  <c r="AA130" i="4"/>
  <c r="I126" i="3" s="1"/>
  <c r="AA131" i="4"/>
  <c r="I127" i="3" s="1"/>
  <c r="AA132" i="4"/>
  <c r="I128" i="3" s="1"/>
  <c r="AA133" i="4"/>
  <c r="I129" i="3" s="1"/>
  <c r="AA134" i="4"/>
  <c r="AA135" i="4"/>
  <c r="AA136" i="4"/>
  <c r="AA137" i="4"/>
  <c r="AA138" i="4"/>
  <c r="AA139" i="4"/>
  <c r="AA140" i="4"/>
  <c r="AA141" i="4"/>
  <c r="AA142" i="4"/>
  <c r="AA143" i="4"/>
  <c r="AA144" i="4"/>
  <c r="AA145" i="4"/>
  <c r="AA146" i="4"/>
  <c r="AA147" i="4"/>
  <c r="I143" i="3" s="1"/>
  <c r="AA148" i="4"/>
  <c r="I144" i="3" s="1"/>
  <c r="AA149" i="4"/>
  <c r="I145" i="3" s="1"/>
  <c r="AA55" i="4"/>
  <c r="I51" i="3" s="1"/>
  <c r="Z56" i="4"/>
  <c r="Z57" i="4"/>
  <c r="Z58" i="4"/>
  <c r="H54" i="3" s="1"/>
  <c r="Z59" i="4"/>
  <c r="H55" i="3" s="1"/>
  <c r="Z60" i="4"/>
  <c r="Z61" i="4"/>
  <c r="H57" i="3" s="1"/>
  <c r="Z62" i="4"/>
  <c r="H58" i="3" s="1"/>
  <c r="Z63" i="4"/>
  <c r="H59" i="3" s="1"/>
  <c r="Z64" i="4"/>
  <c r="H60" i="3" s="1"/>
  <c r="Z65" i="4"/>
  <c r="H61" i="3" s="1"/>
  <c r="Z66" i="4"/>
  <c r="H62" i="3" s="1"/>
  <c r="Z67" i="4"/>
  <c r="H63" i="3" s="1"/>
  <c r="Z68" i="4"/>
  <c r="H64" i="3" s="1"/>
  <c r="Z69" i="4"/>
  <c r="H65" i="3" s="1"/>
  <c r="Z70" i="4"/>
  <c r="Z71" i="4"/>
  <c r="Z72" i="4"/>
  <c r="Z73" i="4"/>
  <c r="Z74" i="4"/>
  <c r="Z75" i="4"/>
  <c r="Z76" i="4"/>
  <c r="Z77" i="4"/>
  <c r="Z78" i="4"/>
  <c r="Z79" i="4"/>
  <c r="H75" i="3" s="1"/>
  <c r="Z80" i="4"/>
  <c r="H76" i="3" s="1"/>
  <c r="Z81" i="4"/>
  <c r="H77" i="3" s="1"/>
  <c r="Z82" i="4"/>
  <c r="H78" i="3" s="1"/>
  <c r="Z83" i="4"/>
  <c r="H79" i="3" s="1"/>
  <c r="Z84" i="4"/>
  <c r="H80" i="3" s="1"/>
  <c r="Z85" i="4"/>
  <c r="H81" i="3" s="1"/>
  <c r="Z86" i="4"/>
  <c r="H82" i="3" s="1"/>
  <c r="Z87" i="4"/>
  <c r="H83" i="3" s="1"/>
  <c r="Z88" i="4"/>
  <c r="H84" i="3" s="1"/>
  <c r="Z89" i="4"/>
  <c r="H85" i="3" s="1"/>
  <c r="Z90" i="4"/>
  <c r="Z91" i="4"/>
  <c r="Z92" i="4"/>
  <c r="Z93" i="4"/>
  <c r="Z94" i="4"/>
  <c r="Z95" i="4"/>
  <c r="Z96" i="4"/>
  <c r="Z97" i="4"/>
  <c r="Z98" i="4"/>
  <c r="Z99" i="4"/>
  <c r="H95" i="3" s="1"/>
  <c r="Z100" i="4"/>
  <c r="H96" i="3" s="1"/>
  <c r="Z101" i="4"/>
  <c r="H97" i="3" s="1"/>
  <c r="Z102" i="4"/>
  <c r="H98" i="3" s="1"/>
  <c r="Z103" i="4"/>
  <c r="H99" i="3" s="1"/>
  <c r="Z104" i="4"/>
  <c r="H100" i="3" s="1"/>
  <c r="Z105" i="4"/>
  <c r="H101" i="3" s="1"/>
  <c r="Z106" i="4"/>
  <c r="H102" i="3" s="1"/>
  <c r="Z107" i="4"/>
  <c r="H103" i="3" s="1"/>
  <c r="Z108" i="4"/>
  <c r="H104" i="3" s="1"/>
  <c r="Z109" i="4"/>
  <c r="H105" i="3" s="1"/>
  <c r="Z110" i="4"/>
  <c r="Z111" i="4"/>
  <c r="Z112" i="4"/>
  <c r="Z113" i="4"/>
  <c r="Z114" i="4"/>
  <c r="Z115" i="4"/>
  <c r="Z116" i="4"/>
  <c r="Z117" i="4"/>
  <c r="Z118" i="4"/>
  <c r="Z119" i="4"/>
  <c r="H115" i="3" s="1"/>
  <c r="Z120" i="4"/>
  <c r="H116" i="3" s="1"/>
  <c r="Z121" i="4"/>
  <c r="H117" i="3" s="1"/>
  <c r="Z122" i="4"/>
  <c r="H118" i="3" s="1"/>
  <c r="Z123" i="4"/>
  <c r="H119" i="3" s="1"/>
  <c r="Z124" i="4"/>
  <c r="H120" i="3" s="1"/>
  <c r="Z125" i="4"/>
  <c r="H121" i="3" s="1"/>
  <c r="Z126" i="4"/>
  <c r="H122" i="3" s="1"/>
  <c r="Z127" i="4"/>
  <c r="H123" i="3" s="1"/>
  <c r="Z128" i="4"/>
  <c r="H124" i="3" s="1"/>
  <c r="Z129" i="4"/>
  <c r="H125" i="3" s="1"/>
  <c r="Z130" i="4"/>
  <c r="Z131" i="4"/>
  <c r="Z132" i="4"/>
  <c r="Z133" i="4"/>
  <c r="Z134" i="4"/>
  <c r="Z135" i="4"/>
  <c r="Z136" i="4"/>
  <c r="Z137" i="4"/>
  <c r="Z138" i="4"/>
  <c r="Z139" i="4"/>
  <c r="H135" i="3" s="1"/>
  <c r="Z140" i="4"/>
  <c r="H136" i="3" s="1"/>
  <c r="Z141" i="4"/>
  <c r="H137" i="3" s="1"/>
  <c r="Z142" i="4"/>
  <c r="H138" i="3" s="1"/>
  <c r="Z143" i="4"/>
  <c r="H139" i="3" s="1"/>
  <c r="Z144" i="4"/>
  <c r="H140" i="3" s="1"/>
  <c r="Z145" i="4"/>
  <c r="H141" i="3" s="1"/>
  <c r="Z146" i="4"/>
  <c r="H142" i="3" s="1"/>
  <c r="Z147" i="4"/>
  <c r="H143" i="3" s="1"/>
  <c r="Z148" i="4"/>
  <c r="H144" i="3" s="1"/>
  <c r="Z149" i="4"/>
  <c r="H145" i="3" s="1"/>
  <c r="Z55" i="4"/>
  <c r="H51" i="3" s="1"/>
  <c r="Y56" i="4"/>
  <c r="G52" i="3" s="1"/>
  <c r="Y57" i="4"/>
  <c r="Y58" i="4"/>
  <c r="Y59" i="4"/>
  <c r="Y60" i="4"/>
  <c r="G56" i="3" s="1"/>
  <c r="Y61" i="4"/>
  <c r="G57" i="3" s="1"/>
  <c r="Y62" i="4"/>
  <c r="G58" i="3" s="1"/>
  <c r="Y63" i="4"/>
  <c r="G59" i="3" s="1"/>
  <c r="Y64" i="4"/>
  <c r="G60" i="3" s="1"/>
  <c r="Y65" i="4"/>
  <c r="G61" i="3" s="1"/>
  <c r="Y66" i="4"/>
  <c r="Y67" i="4"/>
  <c r="G63" i="3" s="1"/>
  <c r="Y68" i="4"/>
  <c r="G64" i="3" s="1"/>
  <c r="Y69" i="4"/>
  <c r="G65" i="3" s="1"/>
  <c r="Y70" i="4"/>
  <c r="G66" i="3" s="1"/>
  <c r="Y71" i="4"/>
  <c r="G67" i="3" s="1"/>
  <c r="Y72" i="4"/>
  <c r="G68" i="3" s="1"/>
  <c r="Y73" i="4"/>
  <c r="G69" i="3" s="1"/>
  <c r="Y74" i="4"/>
  <c r="G70" i="3" s="1"/>
  <c r="Y75" i="4"/>
  <c r="G71" i="3" s="1"/>
  <c r="Y76" i="4"/>
  <c r="G72" i="3" s="1"/>
  <c r="Y77" i="4"/>
  <c r="G73" i="3" s="1"/>
  <c r="Y78" i="4"/>
  <c r="G74" i="3" s="1"/>
  <c r="Y79" i="4"/>
  <c r="G75" i="3" s="1"/>
  <c r="Y80" i="4"/>
  <c r="G76" i="3" s="1"/>
  <c r="Y81" i="4"/>
  <c r="G77" i="3" s="1"/>
  <c r="Y82" i="4"/>
  <c r="G78" i="3" s="1"/>
  <c r="Y83" i="4"/>
  <c r="G79" i="3" s="1"/>
  <c r="Y84" i="4"/>
  <c r="G80" i="3" s="1"/>
  <c r="Y85" i="4"/>
  <c r="G81" i="3" s="1"/>
  <c r="Y86" i="4"/>
  <c r="G82" i="3" s="1"/>
  <c r="Y87" i="4"/>
  <c r="G83" i="3" s="1"/>
  <c r="Y88" i="4"/>
  <c r="G84" i="3" s="1"/>
  <c r="Y89" i="4"/>
  <c r="G85" i="3" s="1"/>
  <c r="Y90" i="4"/>
  <c r="G86" i="3" s="1"/>
  <c r="Y91" i="4"/>
  <c r="G87" i="3" s="1"/>
  <c r="Y92" i="4"/>
  <c r="G88" i="3" s="1"/>
  <c r="Y93" i="4"/>
  <c r="G89" i="3" s="1"/>
  <c r="Y94" i="4"/>
  <c r="G90" i="3" s="1"/>
  <c r="Y95" i="4"/>
  <c r="G91" i="3" s="1"/>
  <c r="Y96" i="4"/>
  <c r="G92" i="3" s="1"/>
  <c r="Y97" i="4"/>
  <c r="G93" i="3" s="1"/>
  <c r="Y98" i="4"/>
  <c r="G94" i="3" s="1"/>
  <c r="Y99" i="4"/>
  <c r="G95" i="3" s="1"/>
  <c r="Y100" i="4"/>
  <c r="G96" i="3" s="1"/>
  <c r="Y101" i="4"/>
  <c r="G97" i="3" s="1"/>
  <c r="Y102" i="4"/>
  <c r="G98" i="3" s="1"/>
  <c r="Y103" i="4"/>
  <c r="G99" i="3" s="1"/>
  <c r="Y104" i="4"/>
  <c r="G100" i="3" s="1"/>
  <c r="Y105" i="4"/>
  <c r="G101" i="3" s="1"/>
  <c r="Y106" i="4"/>
  <c r="G102" i="3" s="1"/>
  <c r="Y107" i="4"/>
  <c r="G103" i="3" s="1"/>
  <c r="Y108" i="4"/>
  <c r="G104" i="3" s="1"/>
  <c r="Y109" i="4"/>
  <c r="G105" i="3" s="1"/>
  <c r="Y110" i="4"/>
  <c r="G106" i="3" s="1"/>
  <c r="Y111" i="4"/>
  <c r="G107" i="3" s="1"/>
  <c r="Y112" i="4"/>
  <c r="G108" i="3" s="1"/>
  <c r="Y113" i="4"/>
  <c r="G109" i="3" s="1"/>
  <c r="Y114" i="4"/>
  <c r="G110" i="3" s="1"/>
  <c r="Y115" i="4"/>
  <c r="G111" i="3" s="1"/>
  <c r="Y116" i="4"/>
  <c r="G112" i="3" s="1"/>
  <c r="Y117" i="4"/>
  <c r="G113" i="3" s="1"/>
  <c r="Y118" i="4"/>
  <c r="G114" i="3" s="1"/>
  <c r="Y119" i="4"/>
  <c r="G115" i="3" s="1"/>
  <c r="Y120" i="4"/>
  <c r="G116" i="3" s="1"/>
  <c r="Y121" i="4"/>
  <c r="G117" i="3" s="1"/>
  <c r="Y122" i="4"/>
  <c r="G118" i="3" s="1"/>
  <c r="Y123" i="4"/>
  <c r="G119" i="3" s="1"/>
  <c r="Y124" i="4"/>
  <c r="G120" i="3" s="1"/>
  <c r="Y125" i="4"/>
  <c r="G121" i="3" s="1"/>
  <c r="Y126" i="4"/>
  <c r="G122" i="3" s="1"/>
  <c r="Y127" i="4"/>
  <c r="G123" i="3" s="1"/>
  <c r="Y128" i="4"/>
  <c r="G124" i="3" s="1"/>
  <c r="Y129" i="4"/>
  <c r="G125" i="3" s="1"/>
  <c r="Y130" i="4"/>
  <c r="G126" i="3" s="1"/>
  <c r="Y131" i="4"/>
  <c r="G127" i="3" s="1"/>
  <c r="Y132" i="4"/>
  <c r="G128" i="3" s="1"/>
  <c r="Y133" i="4"/>
  <c r="G129" i="3" s="1"/>
  <c r="Y134" i="4"/>
  <c r="G130" i="3" s="1"/>
  <c r="Y135" i="4"/>
  <c r="G131" i="3" s="1"/>
  <c r="Y136" i="4"/>
  <c r="G132" i="3" s="1"/>
  <c r="Y137" i="4"/>
  <c r="G133" i="3" s="1"/>
  <c r="Y138" i="4"/>
  <c r="Y139" i="4"/>
  <c r="G135" i="3" s="1"/>
  <c r="Y140" i="4"/>
  <c r="G136" i="3" s="1"/>
  <c r="Y141" i="4"/>
  <c r="G137" i="3" s="1"/>
  <c r="Y142" i="4"/>
  <c r="G138" i="3" s="1"/>
  <c r="Y143" i="4"/>
  <c r="G139" i="3" s="1"/>
  <c r="Y144" i="4"/>
  <c r="G140" i="3" s="1"/>
  <c r="Y145" i="4"/>
  <c r="G141" i="3" s="1"/>
  <c r="Y146" i="4"/>
  <c r="G142" i="3" s="1"/>
  <c r="Y147" i="4"/>
  <c r="G143" i="3" s="1"/>
  <c r="Y148" i="4"/>
  <c r="G144" i="3" s="1"/>
  <c r="Y149" i="4"/>
  <c r="G145" i="3" s="1"/>
  <c r="Y55" i="4"/>
  <c r="G51" i="3" s="1"/>
  <c r="X56" i="4"/>
  <c r="X57" i="4"/>
  <c r="X58" i="4"/>
  <c r="X59" i="4"/>
  <c r="X60" i="4"/>
  <c r="X61" i="4"/>
  <c r="X62" i="4"/>
  <c r="F58" i="3" s="1"/>
  <c r="X63" i="4"/>
  <c r="F59" i="3" s="1"/>
  <c r="X64" i="4"/>
  <c r="F60" i="3" s="1"/>
  <c r="X65" i="4"/>
  <c r="F61" i="3" s="1"/>
  <c r="X66" i="4"/>
  <c r="F62" i="3" s="1"/>
  <c r="X67" i="4"/>
  <c r="F63" i="3" s="1"/>
  <c r="X68" i="4"/>
  <c r="F64" i="3" s="1"/>
  <c r="X69" i="4"/>
  <c r="F65" i="3" s="1"/>
  <c r="X70" i="4"/>
  <c r="F66" i="3" s="1"/>
  <c r="X71" i="4"/>
  <c r="F67" i="3" s="1"/>
  <c r="X72" i="4"/>
  <c r="X73" i="4"/>
  <c r="X74" i="4"/>
  <c r="X75" i="4"/>
  <c r="X76" i="4"/>
  <c r="X77" i="4"/>
  <c r="X78" i="4"/>
  <c r="X79" i="4"/>
  <c r="X80" i="4"/>
  <c r="X81" i="4"/>
  <c r="X82" i="4"/>
  <c r="F78" i="3" s="1"/>
  <c r="X83" i="4"/>
  <c r="F79" i="3" s="1"/>
  <c r="X84" i="4"/>
  <c r="F80" i="3" s="1"/>
  <c r="X85" i="4"/>
  <c r="F81" i="3" s="1"/>
  <c r="X86" i="4"/>
  <c r="F82" i="3" s="1"/>
  <c r="X87" i="4"/>
  <c r="F83" i="3" s="1"/>
  <c r="X88" i="4"/>
  <c r="F84" i="3" s="1"/>
  <c r="X89" i="4"/>
  <c r="F85" i="3" s="1"/>
  <c r="X90" i="4"/>
  <c r="F86" i="3" s="1"/>
  <c r="X91" i="4"/>
  <c r="F87" i="3" s="1"/>
  <c r="X92" i="4"/>
  <c r="X93" i="4"/>
  <c r="X94" i="4"/>
  <c r="X95" i="4"/>
  <c r="X96" i="4"/>
  <c r="X97" i="4"/>
  <c r="X98" i="4"/>
  <c r="X99" i="4"/>
  <c r="X100" i="4"/>
  <c r="X101" i="4"/>
  <c r="X102" i="4"/>
  <c r="F98" i="3" s="1"/>
  <c r="X103" i="4"/>
  <c r="F99" i="3" s="1"/>
  <c r="X104" i="4"/>
  <c r="F100" i="3" s="1"/>
  <c r="X105" i="4"/>
  <c r="F101" i="3" s="1"/>
  <c r="X106" i="4"/>
  <c r="F102" i="3" s="1"/>
  <c r="X107" i="4"/>
  <c r="F103" i="3" s="1"/>
  <c r="X108" i="4"/>
  <c r="F104" i="3" s="1"/>
  <c r="X109" i="4"/>
  <c r="F105" i="3" s="1"/>
  <c r="X110" i="4"/>
  <c r="F106" i="3" s="1"/>
  <c r="X111" i="4"/>
  <c r="F107" i="3" s="1"/>
  <c r="X112" i="4"/>
  <c r="X113" i="4"/>
  <c r="X114" i="4"/>
  <c r="X115" i="4"/>
  <c r="X116" i="4"/>
  <c r="X117" i="4"/>
  <c r="X118" i="4"/>
  <c r="X119" i="4"/>
  <c r="X120" i="4"/>
  <c r="X121" i="4"/>
  <c r="X122" i="4"/>
  <c r="F118" i="3" s="1"/>
  <c r="X123" i="4"/>
  <c r="F119" i="3" s="1"/>
  <c r="X124" i="4"/>
  <c r="F120" i="3" s="1"/>
  <c r="X125" i="4"/>
  <c r="F121" i="3" s="1"/>
  <c r="X126" i="4"/>
  <c r="F122" i="3" s="1"/>
  <c r="X127" i="4"/>
  <c r="F123" i="3" s="1"/>
  <c r="X128" i="4"/>
  <c r="F124" i="3" s="1"/>
  <c r="X129" i="4"/>
  <c r="F125" i="3" s="1"/>
  <c r="X130" i="4"/>
  <c r="F126" i="3" s="1"/>
  <c r="X131" i="4"/>
  <c r="F127" i="3" s="1"/>
  <c r="X132" i="4"/>
  <c r="X133" i="4"/>
  <c r="X134" i="4"/>
  <c r="X135" i="4"/>
  <c r="X136" i="4"/>
  <c r="X137" i="4"/>
  <c r="X138" i="4"/>
  <c r="X139" i="4"/>
  <c r="X140" i="4"/>
  <c r="X141" i="4"/>
  <c r="X142" i="4"/>
  <c r="F138" i="3" s="1"/>
  <c r="X143" i="4"/>
  <c r="F139" i="3" s="1"/>
  <c r="X144" i="4"/>
  <c r="F140" i="3" s="1"/>
  <c r="X145" i="4"/>
  <c r="F141" i="3" s="1"/>
  <c r="X146" i="4"/>
  <c r="F142" i="3" s="1"/>
  <c r="X147" i="4"/>
  <c r="F143" i="3" s="1"/>
  <c r="X148" i="4"/>
  <c r="F144" i="3" s="1"/>
  <c r="X149" i="4"/>
  <c r="F145" i="3" s="1"/>
  <c r="X55" i="4"/>
  <c r="F51" i="3" s="1"/>
  <c r="W56" i="4"/>
  <c r="E52" i="3" s="1"/>
  <c r="W57" i="4"/>
  <c r="E53" i="3" s="1"/>
  <c r="W58" i="4"/>
  <c r="E54" i="3" s="1"/>
  <c r="W59" i="4"/>
  <c r="W60" i="4"/>
  <c r="E56" i="3" s="1"/>
  <c r="W61" i="4"/>
  <c r="W62" i="4"/>
  <c r="W63" i="4"/>
  <c r="W64" i="4"/>
  <c r="W65" i="4"/>
  <c r="E61" i="3" s="1"/>
  <c r="W66" i="4"/>
  <c r="E62" i="3" s="1"/>
  <c r="W67" i="4"/>
  <c r="E63" i="3" s="1"/>
  <c r="W68" i="4"/>
  <c r="E64" i="3" s="1"/>
  <c r="W69" i="4"/>
  <c r="E65" i="3" s="1"/>
  <c r="W70" i="4"/>
  <c r="W71" i="4"/>
  <c r="W72" i="4"/>
  <c r="W73" i="4"/>
  <c r="W74" i="4"/>
  <c r="E70" i="3" s="1"/>
  <c r="W75" i="4"/>
  <c r="E71" i="3" s="1"/>
  <c r="W76" i="4"/>
  <c r="E72" i="3" s="1"/>
  <c r="W77" i="4"/>
  <c r="E73" i="3" s="1"/>
  <c r="W78" i="4"/>
  <c r="E74" i="3" s="1"/>
  <c r="W79" i="4"/>
  <c r="W80" i="4"/>
  <c r="E76" i="3" s="1"/>
  <c r="W81" i="4"/>
  <c r="W82" i="4"/>
  <c r="W83" i="4"/>
  <c r="W84" i="4"/>
  <c r="W85" i="4"/>
  <c r="E81" i="3" s="1"/>
  <c r="W86" i="4"/>
  <c r="E82" i="3" s="1"/>
  <c r="W87" i="4"/>
  <c r="E83" i="3" s="1"/>
  <c r="W88" i="4"/>
  <c r="E84" i="3" s="1"/>
  <c r="W89" i="4"/>
  <c r="E85" i="3" s="1"/>
  <c r="W90" i="4"/>
  <c r="W91" i="4"/>
  <c r="W92" i="4"/>
  <c r="W93" i="4"/>
  <c r="W94" i="4"/>
  <c r="E90" i="3" s="1"/>
  <c r="W95" i="4"/>
  <c r="E91" i="3" s="1"/>
  <c r="W96" i="4"/>
  <c r="E92" i="3" s="1"/>
  <c r="W97" i="4"/>
  <c r="E93" i="3" s="1"/>
  <c r="W98" i="4"/>
  <c r="E94" i="3" s="1"/>
  <c r="W99" i="4"/>
  <c r="W100" i="4"/>
  <c r="E96" i="3" s="1"/>
  <c r="W101" i="4"/>
  <c r="W102" i="4"/>
  <c r="W103" i="4"/>
  <c r="W104" i="4"/>
  <c r="W105" i="4"/>
  <c r="E101" i="3" s="1"/>
  <c r="W106" i="4"/>
  <c r="E102" i="3" s="1"/>
  <c r="W107" i="4"/>
  <c r="E103" i="3" s="1"/>
  <c r="W108" i="4"/>
  <c r="E104" i="3" s="1"/>
  <c r="W109" i="4"/>
  <c r="E105" i="3" s="1"/>
  <c r="W110" i="4"/>
  <c r="W111" i="4"/>
  <c r="W112" i="4"/>
  <c r="W113" i="4"/>
  <c r="W114" i="4"/>
  <c r="E110" i="3" s="1"/>
  <c r="W115" i="4"/>
  <c r="E111" i="3" s="1"/>
  <c r="W116" i="4"/>
  <c r="E112" i="3" s="1"/>
  <c r="W117" i="4"/>
  <c r="E113" i="3" s="1"/>
  <c r="W118" i="4"/>
  <c r="E114" i="3" s="1"/>
  <c r="W119" i="4"/>
  <c r="W120" i="4"/>
  <c r="E116" i="3" s="1"/>
  <c r="W121" i="4"/>
  <c r="W122" i="4"/>
  <c r="W123" i="4"/>
  <c r="W124" i="4"/>
  <c r="W125" i="4"/>
  <c r="E121" i="3" s="1"/>
  <c r="W126" i="4"/>
  <c r="E122" i="3" s="1"/>
  <c r="W127" i="4"/>
  <c r="E123" i="3" s="1"/>
  <c r="W128" i="4"/>
  <c r="E124" i="3" s="1"/>
  <c r="W129" i="4"/>
  <c r="E125" i="3" s="1"/>
  <c r="W130" i="4"/>
  <c r="W131" i="4"/>
  <c r="W132" i="4"/>
  <c r="W133" i="4"/>
  <c r="W134" i="4"/>
  <c r="E130" i="3" s="1"/>
  <c r="W135" i="4"/>
  <c r="E131" i="3" s="1"/>
  <c r="W136" i="4"/>
  <c r="E132" i="3" s="1"/>
  <c r="W137" i="4"/>
  <c r="E133" i="3" s="1"/>
  <c r="W138" i="4"/>
  <c r="E134" i="3" s="1"/>
  <c r="W139" i="4"/>
  <c r="W140" i="4"/>
  <c r="E136" i="3" s="1"/>
  <c r="W141" i="4"/>
  <c r="W142" i="4"/>
  <c r="W143" i="4"/>
  <c r="W144" i="4"/>
  <c r="W145" i="4"/>
  <c r="E141" i="3" s="1"/>
  <c r="W146" i="4"/>
  <c r="E142" i="3" s="1"/>
  <c r="W147" i="4"/>
  <c r="E143" i="3" s="1"/>
  <c r="W148" i="4"/>
  <c r="E144" i="3" s="1"/>
  <c r="W149" i="4"/>
  <c r="E145" i="3" s="1"/>
  <c r="W55" i="4"/>
  <c r="E51" i="3" s="1"/>
  <c r="C30" i="4"/>
  <c r="C33" i="4" s="1"/>
  <c r="C31" i="4"/>
  <c r="C32" i="4"/>
  <c r="D33" i="4" l="1"/>
  <c r="D30" i="4"/>
  <c r="AI10" i="4"/>
  <c r="AI9" i="4"/>
  <c r="AI8" i="4"/>
  <c r="AI7" i="4"/>
  <c r="AI16" i="4"/>
  <c r="AI6" i="4"/>
  <c r="AI17" i="4"/>
  <c r="AI15" i="4"/>
  <c r="AI14" i="4"/>
  <c r="AI13" i="4"/>
  <c r="AI12" i="4"/>
  <c r="AI11" i="4"/>
  <c r="AL15" i="4" a="1"/>
  <c r="AR9" i="4" a="1"/>
  <c r="AM13" i="4" a="1"/>
  <c r="AJ8" i="4" a="1"/>
  <c r="AQ11" i="4" a="1"/>
  <c r="AR10" i="4" a="1"/>
  <c r="AR17" i="4" a="1"/>
  <c r="AL16" i="4" a="1"/>
  <c r="AN11" i="4" a="1"/>
  <c r="AQ6" i="4" a="1"/>
  <c r="AJ15" i="4" a="1"/>
  <c r="AL14" i="4" a="1"/>
  <c r="AJ12" i="4" a="1"/>
  <c r="AP6" i="4" a="1"/>
  <c r="AK12" i="4" a="1"/>
  <c r="AM17" i="4" a="1"/>
  <c r="AQ16" i="4" a="1"/>
  <c r="AL6" i="4" a="1"/>
  <c r="AN8" i="4" a="1"/>
  <c r="AJ9" i="4" a="1"/>
  <c r="AO8" i="4" a="1"/>
  <c r="AJ14" i="4" a="1"/>
  <c r="AO7" i="4" a="1"/>
  <c r="AQ14" i="4" a="1"/>
  <c r="AO14" i="4" a="1"/>
  <c r="AQ7" i="4" a="1"/>
  <c r="AK13" i="4" a="1"/>
  <c r="AO11" i="4" a="1"/>
  <c r="AJ13" i="4" a="1"/>
  <c r="AO12" i="4" a="1"/>
  <c r="AK10" i="4" a="1"/>
  <c r="AP13" i="4" a="1"/>
  <c r="AL8" i="4" a="1"/>
  <c r="AR12" i="4" a="1"/>
  <c r="AJ11" i="4" a="1"/>
  <c r="AJ7" i="4" a="1"/>
  <c r="AL7" i="4" a="1"/>
  <c r="AP12" i="4" a="1"/>
  <c r="AJ10" i="4" a="1"/>
  <c r="AK16" i="4" a="1"/>
  <c r="AR15" i="4" a="1"/>
  <c r="AP14" i="4" a="1"/>
  <c r="AM7" i="4" a="1"/>
  <c r="AM9" i="4" a="1"/>
  <c r="AQ10" i="4" a="1"/>
  <c r="AR13" i="4" a="1"/>
  <c r="AL17" i="4" a="1"/>
  <c r="AQ12" i="4" a="1"/>
  <c r="AM12" i="4" a="1"/>
  <c r="AN15" i="4" a="1"/>
  <c r="AP15" i="4" a="1"/>
  <c r="AL10" i="4" a="1"/>
  <c r="AP16" i="4" a="1"/>
  <c r="AM16" i="4" a="1"/>
  <c r="AN7" i="4" a="1"/>
  <c r="AM10" i="4" a="1"/>
  <c r="AK6" i="4" a="1"/>
  <c r="AK9" i="4" a="1"/>
  <c r="AM14" i="4" a="1"/>
  <c r="AM8" i="4" a="1"/>
  <c r="AL9" i="4" a="1"/>
  <c r="AO10" i="4" a="1"/>
  <c r="AN14" i="4" a="1"/>
  <c r="AQ13" i="4" a="1"/>
  <c r="AP8" i="4" a="1"/>
  <c r="AN17" i="4" a="1"/>
  <c r="AM11" i="4" a="1"/>
  <c r="AN13" i="4" a="1"/>
  <c r="AK17" i="4" a="1"/>
  <c r="AJ16" i="4" a="1"/>
  <c r="AK15" i="4" a="1"/>
  <c r="AO13" i="4" a="1"/>
  <c r="AR16" i="4" a="1"/>
  <c r="AQ17" i="4" a="1"/>
  <c r="AP7" i="4" a="1"/>
  <c r="AP9" i="4" a="1"/>
  <c r="AR14" i="4" a="1"/>
  <c r="AQ9" i="4" a="1"/>
  <c r="AJ17" i="4" a="1"/>
  <c r="AL11" i="4" a="1"/>
  <c r="AQ15" i="4" a="1"/>
  <c r="AN16" i="4" a="1"/>
  <c r="AP17" i="4" a="1"/>
  <c r="AN9" i="4" a="1"/>
  <c r="AJ6" i="4" a="1"/>
  <c r="AL12" i="4" a="1"/>
  <c r="AO6" i="4" a="1"/>
  <c r="AM15" i="4" a="1"/>
  <c r="AR11" i="4" a="1"/>
  <c r="AP10" i="4" a="1"/>
  <c r="AK11" i="4" a="1"/>
  <c r="AP11" i="4" a="1"/>
  <c r="AR8" i="4" a="1"/>
  <c r="AO16" i="4" a="1"/>
  <c r="AR7" i="4" a="1"/>
  <c r="AL13" i="4" a="1"/>
  <c r="AQ8" i="4" a="1"/>
  <c r="AO15" i="4" a="1"/>
  <c r="AN10" i="4" a="1"/>
  <c r="AN12" i="4" a="1"/>
  <c r="AR6" i="4" a="1"/>
  <c r="AN6" i="4" a="1"/>
  <c r="AK7" i="4" a="1"/>
  <c r="AO9" i="4" a="1"/>
  <c r="AK14" i="4" a="1"/>
  <c r="AO17" i="4" a="1"/>
  <c r="AK8" i="4" a="1"/>
  <c r="AM6" i="4" a="1"/>
  <c r="AQ17" i="4" l="1"/>
  <c r="AR17" i="4"/>
  <c r="AL17" i="4"/>
  <c r="AN17" i="4"/>
  <c r="AM17" i="4"/>
  <c r="AP17" i="4"/>
  <c r="AO17" i="4"/>
  <c r="AK17" i="4"/>
  <c r="AM16" i="4"/>
  <c r="AL16" i="4"/>
  <c r="AR16" i="4"/>
  <c r="AN16" i="4"/>
  <c r="AQ16" i="4"/>
  <c r="AP16" i="4"/>
  <c r="AO16" i="4"/>
  <c r="AK16" i="4"/>
  <c r="AL15" i="4"/>
  <c r="AP15" i="4"/>
  <c r="AR15" i="4"/>
  <c r="AN15" i="4"/>
  <c r="AQ15" i="4"/>
  <c r="AM15" i="4"/>
  <c r="AO15" i="4"/>
  <c r="AK15" i="4"/>
  <c r="AR14" i="4"/>
  <c r="AQ14" i="4"/>
  <c r="AL14" i="4"/>
  <c r="AN14" i="4"/>
  <c r="AM14" i="4"/>
  <c r="AP14" i="4"/>
  <c r="AO14" i="4"/>
  <c r="AK14" i="4"/>
  <c r="AR13" i="4"/>
  <c r="AN13" i="4"/>
  <c r="AL13" i="4"/>
  <c r="AP13" i="4"/>
  <c r="AQ13" i="4"/>
  <c r="AM13" i="4"/>
  <c r="AO13" i="4"/>
  <c r="AK13" i="4"/>
  <c r="AR12" i="4"/>
  <c r="AN12" i="4"/>
  <c r="AL12" i="4"/>
  <c r="AM12" i="4"/>
  <c r="AP12" i="4"/>
  <c r="AQ12" i="4"/>
  <c r="AO12" i="4"/>
  <c r="AK12" i="4"/>
  <c r="AM11" i="4"/>
  <c r="AR11" i="4"/>
  <c r="AQ11" i="4"/>
  <c r="AL11" i="4"/>
  <c r="AP11" i="4"/>
  <c r="AN11" i="4"/>
  <c r="AO11" i="4"/>
  <c r="AK11" i="4"/>
  <c r="AM10" i="4"/>
  <c r="AQ10" i="4"/>
  <c r="AR10" i="4"/>
  <c r="AL10" i="4"/>
  <c r="AN10" i="4"/>
  <c r="AP10" i="4"/>
  <c r="AO10" i="4"/>
  <c r="AK10" i="4"/>
  <c r="AR9" i="4"/>
  <c r="AN9" i="4"/>
  <c r="AM9" i="4"/>
  <c r="AL9" i="4"/>
  <c r="AQ9" i="4"/>
  <c r="AP9" i="4"/>
  <c r="AO9" i="4"/>
  <c r="AK9" i="4"/>
  <c r="AN8" i="4"/>
  <c r="AM8" i="4"/>
  <c r="AQ8" i="4"/>
  <c r="AL8" i="4"/>
  <c r="AR8" i="4"/>
  <c r="AP8" i="4"/>
  <c r="AO8" i="4"/>
  <c r="AK8" i="4"/>
  <c r="AN7" i="4"/>
  <c r="AR7" i="4"/>
  <c r="AL7" i="4"/>
  <c r="AQ7" i="4"/>
  <c r="AM7" i="4"/>
  <c r="AP7" i="4"/>
  <c r="AO7" i="4"/>
  <c r="AK7" i="4"/>
  <c r="AJ17" i="4"/>
  <c r="AJ16" i="4"/>
  <c r="AJ15" i="4"/>
  <c r="AJ14" i="4"/>
  <c r="AJ13" i="4"/>
  <c r="AJ12" i="4"/>
  <c r="AJ11" i="4"/>
  <c r="AJ10" i="4"/>
  <c r="AJ9" i="4"/>
  <c r="AJ8" i="4"/>
  <c r="AJ7" i="4"/>
  <c r="AM6" i="4"/>
  <c r="AR6" i="4"/>
  <c r="AP6" i="4"/>
  <c r="AL6" i="4"/>
  <c r="AN6" i="4"/>
  <c r="AQ6" i="4"/>
  <c r="AO6" i="4"/>
  <c r="AK6" i="4"/>
  <c r="AJ6" i="4"/>
  <c r="V56" i="4"/>
  <c r="D52" i="3" s="1"/>
  <c r="V57" i="4"/>
  <c r="D53" i="3" s="1"/>
  <c r="V58" i="4"/>
  <c r="D54" i="3" s="1"/>
  <c r="V59" i="4"/>
  <c r="D55" i="3" s="1"/>
  <c r="V60" i="4"/>
  <c r="D56" i="3" s="1"/>
  <c r="V61" i="4"/>
  <c r="D57" i="3" s="1"/>
  <c r="V62" i="4"/>
  <c r="D58" i="3" s="1"/>
  <c r="V63" i="4"/>
  <c r="D59" i="3" s="1"/>
  <c r="V64" i="4"/>
  <c r="D60" i="3" s="1"/>
  <c r="V65" i="4"/>
  <c r="D61" i="3" s="1"/>
  <c r="V66" i="4"/>
  <c r="D62" i="3" s="1"/>
  <c r="V67" i="4"/>
  <c r="D63" i="3" s="1"/>
  <c r="V68" i="4"/>
  <c r="D64" i="3" s="1"/>
  <c r="V69" i="4"/>
  <c r="D65" i="3" s="1"/>
  <c r="V70" i="4"/>
  <c r="D66" i="3" s="1"/>
  <c r="V71" i="4"/>
  <c r="D67" i="3" s="1"/>
  <c r="V72" i="4"/>
  <c r="D68" i="3" s="1"/>
  <c r="V73" i="4"/>
  <c r="D69" i="3" s="1"/>
  <c r="V74" i="4"/>
  <c r="D70" i="3" s="1"/>
  <c r="V75" i="4"/>
  <c r="D71" i="3" s="1"/>
  <c r="V76" i="4"/>
  <c r="D72" i="3" s="1"/>
  <c r="V77" i="4"/>
  <c r="D73" i="3" s="1"/>
  <c r="V78" i="4"/>
  <c r="D74" i="3" s="1"/>
  <c r="V79" i="4"/>
  <c r="D75" i="3" s="1"/>
  <c r="V80" i="4"/>
  <c r="D76" i="3" s="1"/>
  <c r="V81" i="4"/>
  <c r="D77" i="3" s="1"/>
  <c r="V82" i="4"/>
  <c r="D78" i="3" s="1"/>
  <c r="V83" i="4"/>
  <c r="D79" i="3" s="1"/>
  <c r="V84" i="4"/>
  <c r="D80" i="3" s="1"/>
  <c r="V85" i="4"/>
  <c r="D81" i="3" s="1"/>
  <c r="V86" i="4"/>
  <c r="D82" i="3" s="1"/>
  <c r="V87" i="4"/>
  <c r="D83" i="3" s="1"/>
  <c r="V88" i="4"/>
  <c r="D84" i="3" s="1"/>
  <c r="V89" i="4"/>
  <c r="D85" i="3" s="1"/>
  <c r="V90" i="4"/>
  <c r="D86" i="3" s="1"/>
  <c r="V91" i="4"/>
  <c r="D87" i="3" s="1"/>
  <c r="V92" i="4"/>
  <c r="D88" i="3" s="1"/>
  <c r="V93" i="4"/>
  <c r="D89" i="3" s="1"/>
  <c r="V94" i="4"/>
  <c r="D90" i="3" s="1"/>
  <c r="V95" i="4"/>
  <c r="D91" i="3" s="1"/>
  <c r="V96" i="4"/>
  <c r="D92" i="3" s="1"/>
  <c r="V97" i="4"/>
  <c r="D93" i="3" s="1"/>
  <c r="V98" i="4"/>
  <c r="D94" i="3" s="1"/>
  <c r="V99" i="4"/>
  <c r="D95" i="3" s="1"/>
  <c r="V100" i="4"/>
  <c r="D96" i="3" s="1"/>
  <c r="V101" i="4"/>
  <c r="D97" i="3" s="1"/>
  <c r="V102" i="4"/>
  <c r="D98" i="3" s="1"/>
  <c r="V103" i="4"/>
  <c r="D99" i="3" s="1"/>
  <c r="V104" i="4"/>
  <c r="D100" i="3" s="1"/>
  <c r="V105" i="4"/>
  <c r="D101" i="3" s="1"/>
  <c r="V106" i="4"/>
  <c r="D102" i="3" s="1"/>
  <c r="V107" i="4"/>
  <c r="D103" i="3" s="1"/>
  <c r="V108" i="4"/>
  <c r="D104" i="3" s="1"/>
  <c r="V109" i="4"/>
  <c r="D105" i="3" s="1"/>
  <c r="V110" i="4"/>
  <c r="D106" i="3" s="1"/>
  <c r="V111" i="4"/>
  <c r="D107" i="3" s="1"/>
  <c r="V112" i="4"/>
  <c r="D108" i="3" s="1"/>
  <c r="V113" i="4"/>
  <c r="D109" i="3" s="1"/>
  <c r="V114" i="4"/>
  <c r="D110" i="3" s="1"/>
  <c r="V115" i="4"/>
  <c r="D111" i="3" s="1"/>
  <c r="V116" i="4"/>
  <c r="D112" i="3" s="1"/>
  <c r="V117" i="4"/>
  <c r="D113" i="3" s="1"/>
  <c r="V118" i="4"/>
  <c r="D114" i="3" s="1"/>
  <c r="V119" i="4"/>
  <c r="D115" i="3" s="1"/>
  <c r="V120" i="4"/>
  <c r="D116" i="3" s="1"/>
  <c r="V121" i="4"/>
  <c r="D117" i="3" s="1"/>
  <c r="V122" i="4"/>
  <c r="D118" i="3" s="1"/>
  <c r="V123" i="4"/>
  <c r="D119" i="3" s="1"/>
  <c r="V124" i="4"/>
  <c r="D120" i="3" s="1"/>
  <c r="V125" i="4"/>
  <c r="D121" i="3" s="1"/>
  <c r="V126" i="4"/>
  <c r="D122" i="3" s="1"/>
  <c r="V127" i="4"/>
  <c r="D123" i="3" s="1"/>
  <c r="V128" i="4"/>
  <c r="D124" i="3" s="1"/>
  <c r="V129" i="4"/>
  <c r="D125" i="3" s="1"/>
  <c r="V130" i="4"/>
  <c r="D126" i="3" s="1"/>
  <c r="V131" i="4"/>
  <c r="D127" i="3" s="1"/>
  <c r="V132" i="4"/>
  <c r="D128" i="3" s="1"/>
  <c r="V133" i="4"/>
  <c r="D129" i="3" s="1"/>
  <c r="V134" i="4"/>
  <c r="D130" i="3" s="1"/>
  <c r="V135" i="4"/>
  <c r="D131" i="3" s="1"/>
  <c r="V136" i="4"/>
  <c r="D132" i="3" s="1"/>
  <c r="V137" i="4"/>
  <c r="D133" i="3" s="1"/>
  <c r="V138" i="4"/>
  <c r="D134" i="3" s="1"/>
  <c r="V139" i="4"/>
  <c r="D135" i="3" s="1"/>
  <c r="V140" i="4"/>
  <c r="D136" i="3" s="1"/>
  <c r="V141" i="4"/>
  <c r="D137" i="3" s="1"/>
  <c r="V142" i="4"/>
  <c r="D138" i="3" s="1"/>
  <c r="V143" i="4"/>
  <c r="D139" i="3" s="1"/>
  <c r="V144" i="4"/>
  <c r="D140" i="3" s="1"/>
  <c r="V145" i="4"/>
  <c r="D141" i="3" s="1"/>
  <c r="V146" i="4"/>
  <c r="D142" i="3" s="1"/>
  <c r="V147" i="4"/>
  <c r="D143" i="3" s="1"/>
  <c r="V148" i="4"/>
  <c r="D144" i="3" s="1"/>
  <c r="V149" i="4"/>
  <c r="D145" i="3" s="1"/>
  <c r="U56" i="4"/>
  <c r="C52" i="3" s="1"/>
  <c r="U57" i="4"/>
  <c r="C53" i="3" s="1"/>
  <c r="U58" i="4"/>
  <c r="C54" i="3" s="1"/>
  <c r="U59" i="4"/>
  <c r="C55" i="3" s="1"/>
  <c r="U60" i="4"/>
  <c r="C56" i="3" s="1"/>
  <c r="U61" i="4"/>
  <c r="C57" i="3" s="1"/>
  <c r="U62" i="4"/>
  <c r="C58" i="3" s="1"/>
  <c r="U63" i="4"/>
  <c r="C59" i="3" s="1"/>
  <c r="U64" i="4"/>
  <c r="C60" i="3" s="1"/>
  <c r="U65" i="4"/>
  <c r="C61" i="3" s="1"/>
  <c r="U66" i="4"/>
  <c r="C62" i="3" s="1"/>
  <c r="U67" i="4"/>
  <c r="C63" i="3" s="1"/>
  <c r="U68" i="4"/>
  <c r="C64" i="3" s="1"/>
  <c r="U69" i="4"/>
  <c r="C65" i="3" s="1"/>
  <c r="U70" i="4"/>
  <c r="C66" i="3" s="1"/>
  <c r="U71" i="4"/>
  <c r="C67" i="3" s="1"/>
  <c r="U72" i="4"/>
  <c r="C68" i="3" s="1"/>
  <c r="U73" i="4"/>
  <c r="C69" i="3" s="1"/>
  <c r="U74" i="4"/>
  <c r="C70" i="3" s="1"/>
  <c r="U75" i="4"/>
  <c r="C71" i="3" s="1"/>
  <c r="U76" i="4"/>
  <c r="C72" i="3" s="1"/>
  <c r="U77" i="4"/>
  <c r="C73" i="3" s="1"/>
  <c r="U78" i="4"/>
  <c r="C74" i="3" s="1"/>
  <c r="U79" i="4"/>
  <c r="C75" i="3" s="1"/>
  <c r="U80" i="4"/>
  <c r="C76" i="3" s="1"/>
  <c r="U81" i="4"/>
  <c r="C77" i="3" s="1"/>
  <c r="U82" i="4"/>
  <c r="C78" i="3" s="1"/>
  <c r="U83" i="4"/>
  <c r="C79" i="3" s="1"/>
  <c r="U84" i="4"/>
  <c r="C80" i="3" s="1"/>
  <c r="U85" i="4"/>
  <c r="C81" i="3" s="1"/>
  <c r="U86" i="4"/>
  <c r="C82" i="3" s="1"/>
  <c r="U87" i="4"/>
  <c r="C83" i="3" s="1"/>
  <c r="U88" i="4"/>
  <c r="C84" i="3" s="1"/>
  <c r="U89" i="4"/>
  <c r="C85" i="3" s="1"/>
  <c r="U90" i="4"/>
  <c r="C86" i="3" s="1"/>
  <c r="U91" i="4"/>
  <c r="C87" i="3" s="1"/>
  <c r="U92" i="4"/>
  <c r="C88" i="3" s="1"/>
  <c r="U93" i="4"/>
  <c r="C89" i="3" s="1"/>
  <c r="U94" i="4"/>
  <c r="C90" i="3" s="1"/>
  <c r="U95" i="4"/>
  <c r="C91" i="3" s="1"/>
  <c r="U96" i="4"/>
  <c r="C92" i="3" s="1"/>
  <c r="U97" i="4"/>
  <c r="C93" i="3" s="1"/>
  <c r="U98" i="4"/>
  <c r="C94" i="3" s="1"/>
  <c r="U99" i="4"/>
  <c r="C95" i="3" s="1"/>
  <c r="U100" i="4"/>
  <c r="C96" i="3" s="1"/>
  <c r="U101" i="4"/>
  <c r="C97" i="3" s="1"/>
  <c r="U102" i="4"/>
  <c r="C98" i="3" s="1"/>
  <c r="U103" i="4"/>
  <c r="C99" i="3" s="1"/>
  <c r="U104" i="4"/>
  <c r="C100" i="3" s="1"/>
  <c r="U105" i="4"/>
  <c r="C101" i="3" s="1"/>
  <c r="U106" i="4"/>
  <c r="C102" i="3" s="1"/>
  <c r="U107" i="4"/>
  <c r="C103" i="3" s="1"/>
  <c r="U108" i="4"/>
  <c r="C104" i="3" s="1"/>
  <c r="U109" i="4"/>
  <c r="C105" i="3" s="1"/>
  <c r="U110" i="4"/>
  <c r="C106" i="3" s="1"/>
  <c r="U111" i="4"/>
  <c r="C107" i="3" s="1"/>
  <c r="U112" i="4"/>
  <c r="C108" i="3" s="1"/>
  <c r="U113" i="4"/>
  <c r="C109" i="3" s="1"/>
  <c r="U114" i="4"/>
  <c r="C110" i="3" s="1"/>
  <c r="U115" i="4"/>
  <c r="C111" i="3" s="1"/>
  <c r="U116" i="4"/>
  <c r="C112" i="3" s="1"/>
  <c r="U117" i="4"/>
  <c r="C113" i="3" s="1"/>
  <c r="U118" i="4"/>
  <c r="C114" i="3" s="1"/>
  <c r="U119" i="4"/>
  <c r="C115" i="3" s="1"/>
  <c r="U120" i="4"/>
  <c r="C116" i="3" s="1"/>
  <c r="U121" i="4"/>
  <c r="C117" i="3" s="1"/>
  <c r="U122" i="4"/>
  <c r="C118" i="3" s="1"/>
  <c r="U123" i="4"/>
  <c r="C119" i="3" s="1"/>
  <c r="U124" i="4"/>
  <c r="C120" i="3" s="1"/>
  <c r="U125" i="4"/>
  <c r="C121" i="3" s="1"/>
  <c r="U126" i="4"/>
  <c r="C122" i="3" s="1"/>
  <c r="U127" i="4"/>
  <c r="C123" i="3" s="1"/>
  <c r="U128" i="4"/>
  <c r="C124" i="3" s="1"/>
  <c r="U129" i="4"/>
  <c r="C125" i="3" s="1"/>
  <c r="U130" i="4"/>
  <c r="C126" i="3" s="1"/>
  <c r="U131" i="4"/>
  <c r="C127" i="3" s="1"/>
  <c r="U132" i="4"/>
  <c r="C128" i="3" s="1"/>
  <c r="U133" i="4"/>
  <c r="C129" i="3" s="1"/>
  <c r="U134" i="4"/>
  <c r="C130" i="3" s="1"/>
  <c r="U135" i="4"/>
  <c r="C131" i="3" s="1"/>
  <c r="U136" i="4"/>
  <c r="C132" i="3" s="1"/>
  <c r="U137" i="4"/>
  <c r="C133" i="3" s="1"/>
  <c r="U138" i="4"/>
  <c r="C134" i="3" s="1"/>
  <c r="U139" i="4"/>
  <c r="C135" i="3" s="1"/>
  <c r="U140" i="4"/>
  <c r="C136" i="3" s="1"/>
  <c r="U141" i="4"/>
  <c r="C137" i="3" s="1"/>
  <c r="U142" i="4"/>
  <c r="C138" i="3" s="1"/>
  <c r="U143" i="4"/>
  <c r="C139" i="3" s="1"/>
  <c r="U144" i="4"/>
  <c r="C140" i="3" s="1"/>
  <c r="U145" i="4"/>
  <c r="C141" i="3" s="1"/>
  <c r="U146" i="4"/>
  <c r="C142" i="3" s="1"/>
  <c r="U147" i="4"/>
  <c r="C143" i="3" s="1"/>
  <c r="U148" i="4"/>
  <c r="C144" i="3" s="1"/>
  <c r="U149" i="4"/>
  <c r="C145" i="3" s="1"/>
  <c r="T56" i="4"/>
  <c r="B52" i="3" s="1"/>
  <c r="T57" i="4"/>
  <c r="B53" i="3" s="1"/>
  <c r="T58" i="4"/>
  <c r="B54" i="3" s="1"/>
  <c r="T59" i="4"/>
  <c r="B55" i="3" s="1"/>
  <c r="T60" i="4"/>
  <c r="B56" i="3" s="1"/>
  <c r="T61" i="4"/>
  <c r="B57" i="3" s="1"/>
  <c r="T62" i="4"/>
  <c r="B58" i="3" s="1"/>
  <c r="T63" i="4"/>
  <c r="B59" i="3" s="1"/>
  <c r="T64" i="4"/>
  <c r="B60" i="3" s="1"/>
  <c r="T65" i="4"/>
  <c r="B61" i="3" s="1"/>
  <c r="T66" i="4"/>
  <c r="B62" i="3" s="1"/>
  <c r="T67" i="4"/>
  <c r="B63" i="3" s="1"/>
  <c r="T68" i="4"/>
  <c r="B64" i="3" s="1"/>
  <c r="T69" i="4"/>
  <c r="B65" i="3" s="1"/>
  <c r="T70" i="4"/>
  <c r="B66" i="3" s="1"/>
  <c r="T71" i="4"/>
  <c r="B67" i="3" s="1"/>
  <c r="T72" i="4"/>
  <c r="B68" i="3" s="1"/>
  <c r="T73" i="4"/>
  <c r="B69" i="3" s="1"/>
  <c r="T74" i="4"/>
  <c r="B70" i="3" s="1"/>
  <c r="T75" i="4"/>
  <c r="B71" i="3" s="1"/>
  <c r="T76" i="4"/>
  <c r="B72" i="3" s="1"/>
  <c r="T77" i="4"/>
  <c r="B73" i="3" s="1"/>
  <c r="T78" i="4"/>
  <c r="B74" i="3" s="1"/>
  <c r="T79" i="4"/>
  <c r="B75" i="3" s="1"/>
  <c r="T80" i="4"/>
  <c r="B76" i="3" s="1"/>
  <c r="T81" i="4"/>
  <c r="B77" i="3" s="1"/>
  <c r="T82" i="4"/>
  <c r="B78" i="3" s="1"/>
  <c r="T83" i="4"/>
  <c r="B79" i="3" s="1"/>
  <c r="T84" i="4"/>
  <c r="B80" i="3" s="1"/>
  <c r="T85" i="4"/>
  <c r="B81" i="3" s="1"/>
  <c r="T86" i="4"/>
  <c r="B82" i="3" s="1"/>
  <c r="T87" i="4"/>
  <c r="B83" i="3" s="1"/>
  <c r="T88" i="4"/>
  <c r="B84" i="3" s="1"/>
  <c r="T89" i="4"/>
  <c r="B85" i="3" s="1"/>
  <c r="T90" i="4"/>
  <c r="B86" i="3" s="1"/>
  <c r="T91" i="4"/>
  <c r="B87" i="3" s="1"/>
  <c r="T92" i="4"/>
  <c r="B88" i="3" s="1"/>
  <c r="T93" i="4"/>
  <c r="B89" i="3" s="1"/>
  <c r="T94" i="4"/>
  <c r="B90" i="3" s="1"/>
  <c r="T95" i="4"/>
  <c r="B91" i="3" s="1"/>
  <c r="T96" i="4"/>
  <c r="B92" i="3" s="1"/>
  <c r="T97" i="4"/>
  <c r="B93" i="3" s="1"/>
  <c r="T98" i="4"/>
  <c r="B94" i="3" s="1"/>
  <c r="T99" i="4"/>
  <c r="B95" i="3" s="1"/>
  <c r="T100" i="4"/>
  <c r="B96" i="3" s="1"/>
  <c r="T101" i="4"/>
  <c r="B97" i="3" s="1"/>
  <c r="T102" i="4"/>
  <c r="B98" i="3" s="1"/>
  <c r="T103" i="4"/>
  <c r="B99" i="3" s="1"/>
  <c r="T104" i="4"/>
  <c r="B100" i="3" s="1"/>
  <c r="T105" i="4"/>
  <c r="B101" i="3" s="1"/>
  <c r="T106" i="4"/>
  <c r="B102" i="3" s="1"/>
  <c r="T107" i="4"/>
  <c r="B103" i="3" s="1"/>
  <c r="T108" i="4"/>
  <c r="B104" i="3" s="1"/>
  <c r="T109" i="4"/>
  <c r="B105" i="3" s="1"/>
  <c r="T110" i="4"/>
  <c r="B106" i="3" s="1"/>
  <c r="T111" i="4"/>
  <c r="B107" i="3" s="1"/>
  <c r="T112" i="4"/>
  <c r="B108" i="3" s="1"/>
  <c r="T113" i="4"/>
  <c r="B109" i="3" s="1"/>
  <c r="T114" i="4"/>
  <c r="B110" i="3" s="1"/>
  <c r="T115" i="4"/>
  <c r="B111" i="3" s="1"/>
  <c r="T116" i="4"/>
  <c r="B112" i="3" s="1"/>
  <c r="T117" i="4"/>
  <c r="B113" i="3" s="1"/>
  <c r="T118" i="4"/>
  <c r="B114" i="3" s="1"/>
  <c r="T119" i="4"/>
  <c r="B115" i="3" s="1"/>
  <c r="T120" i="4"/>
  <c r="B116" i="3" s="1"/>
  <c r="T121" i="4"/>
  <c r="B117" i="3" s="1"/>
  <c r="T122" i="4"/>
  <c r="B118" i="3" s="1"/>
  <c r="T123" i="4"/>
  <c r="B119" i="3" s="1"/>
  <c r="T124" i="4"/>
  <c r="B120" i="3" s="1"/>
  <c r="T125" i="4"/>
  <c r="B121" i="3" s="1"/>
  <c r="T126" i="4"/>
  <c r="B122" i="3" s="1"/>
  <c r="T127" i="4"/>
  <c r="B123" i="3" s="1"/>
  <c r="T128" i="4"/>
  <c r="B124" i="3" s="1"/>
  <c r="T129" i="4"/>
  <c r="B125" i="3" s="1"/>
  <c r="T130" i="4"/>
  <c r="B126" i="3" s="1"/>
  <c r="T131" i="4"/>
  <c r="B127" i="3" s="1"/>
  <c r="T132" i="4"/>
  <c r="B128" i="3" s="1"/>
  <c r="T133" i="4"/>
  <c r="B129" i="3" s="1"/>
  <c r="T134" i="4"/>
  <c r="B130" i="3" s="1"/>
  <c r="T135" i="4"/>
  <c r="B131" i="3" s="1"/>
  <c r="T136" i="4"/>
  <c r="B132" i="3" s="1"/>
  <c r="T137" i="4"/>
  <c r="B133" i="3" s="1"/>
  <c r="T138" i="4"/>
  <c r="B134" i="3" s="1"/>
  <c r="T139" i="4"/>
  <c r="B135" i="3" s="1"/>
  <c r="T140" i="4"/>
  <c r="B136" i="3" s="1"/>
  <c r="T141" i="4"/>
  <c r="B137" i="3" s="1"/>
  <c r="T142" i="4"/>
  <c r="B138" i="3" s="1"/>
  <c r="T143" i="4"/>
  <c r="B139" i="3" s="1"/>
  <c r="T144" i="4"/>
  <c r="B140" i="3" s="1"/>
  <c r="T145" i="4"/>
  <c r="B141" i="3" s="1"/>
  <c r="T146" i="4"/>
  <c r="B142" i="3" s="1"/>
  <c r="T147" i="4"/>
  <c r="B143" i="3" s="1"/>
  <c r="T148" i="4"/>
  <c r="B144" i="3" s="1"/>
  <c r="T149" i="4"/>
  <c r="B145" i="3" s="1"/>
  <c r="V55" i="4"/>
  <c r="D51" i="3" s="1"/>
  <c r="U55" i="4"/>
  <c r="C51" i="3" s="1"/>
  <c r="T55" i="4"/>
  <c r="B51" i="3" s="1"/>
  <c r="AH6" i="4" l="1"/>
  <c r="AG6" i="4"/>
  <c r="AF6" i="4"/>
  <c r="AE6" i="4"/>
  <c r="AD6" i="4"/>
  <c r="AC6" i="4"/>
  <c r="AB6" i="4"/>
  <c r="AA6" i="4"/>
  <c r="Z6" i="4"/>
  <c r="Z7" i="17"/>
  <c r="Z8" i="17"/>
  <c r="Z9" i="17"/>
  <c r="Z10" i="17"/>
  <c r="Z11" i="17"/>
  <c r="Z12" i="17"/>
  <c r="Z13" i="17"/>
  <c r="Z14" i="17"/>
  <c r="Z15" i="17"/>
  <c r="Z16" i="17"/>
  <c r="Z17" i="17"/>
  <c r="Z18" i="17"/>
  <c r="Z19" i="17"/>
  <c r="Z20" i="17"/>
  <c r="Z21" i="17"/>
  <c r="Z22" i="17"/>
  <c r="Z23" i="17"/>
  <c r="Z24" i="17"/>
  <c r="Z25" i="17"/>
  <c r="Z26" i="17"/>
  <c r="Z27" i="17"/>
  <c r="Z28" i="17"/>
  <c r="Z29" i="17"/>
  <c r="Z30" i="17"/>
  <c r="Z31" i="17"/>
  <c r="Z32" i="17"/>
  <c r="Z33" i="17"/>
  <c r="Z34" i="17"/>
  <c r="Z35" i="17"/>
  <c r="Z36" i="17"/>
  <c r="Z37" i="17"/>
  <c r="Z38" i="17"/>
  <c r="Z39" i="17"/>
  <c r="Z40" i="17"/>
  <c r="Z41" i="17"/>
  <c r="Z42" i="17"/>
  <c r="Z43" i="17"/>
  <c r="Z44" i="17"/>
  <c r="Z45" i="17"/>
  <c r="Z46" i="17"/>
  <c r="Z47" i="17"/>
  <c r="Z48" i="17"/>
  <c r="Z49" i="17"/>
  <c r="Z50" i="17"/>
  <c r="Z51" i="17"/>
  <c r="Z52" i="17"/>
  <c r="Z53" i="17"/>
  <c r="Z54" i="17"/>
  <c r="Z55" i="17"/>
  <c r="Z56" i="17"/>
  <c r="Z57" i="17"/>
  <c r="Z58" i="17"/>
  <c r="Z59" i="17"/>
  <c r="Z60" i="17"/>
  <c r="Z61" i="17"/>
  <c r="Z62" i="17"/>
  <c r="Z63" i="17"/>
  <c r="Z64" i="17"/>
  <c r="Z65" i="17"/>
  <c r="Z66" i="17"/>
  <c r="Z67" i="17"/>
  <c r="Z68" i="17"/>
  <c r="Z69" i="17"/>
  <c r="Z70" i="17"/>
  <c r="Z71" i="17"/>
  <c r="Z72" i="17"/>
  <c r="Z73" i="17"/>
  <c r="Z74" i="17"/>
  <c r="Z75" i="17"/>
  <c r="Z76" i="17"/>
  <c r="Z77" i="17"/>
  <c r="Z78" i="17"/>
  <c r="Z79" i="17"/>
  <c r="Z80" i="17"/>
  <c r="Z81" i="17"/>
  <c r="Z82" i="17"/>
  <c r="Z83" i="17"/>
  <c r="Z84" i="17"/>
  <c r="Z85" i="17"/>
  <c r="Z86" i="17"/>
  <c r="Z87" i="17"/>
  <c r="Z88" i="17"/>
  <c r="Z89" i="17"/>
  <c r="Z90" i="17"/>
  <c r="Z91" i="17"/>
  <c r="Z92" i="17"/>
  <c r="Z93" i="17"/>
  <c r="Z94" i="17"/>
  <c r="Z95" i="17"/>
  <c r="Z96" i="17"/>
  <c r="Z97" i="17"/>
  <c r="Z98" i="17"/>
  <c r="Z99" i="17"/>
  <c r="Z100" i="17"/>
  <c r="Z101" i="17"/>
  <c r="Z102" i="17"/>
  <c r="Z103" i="17"/>
  <c r="Z104" i="17"/>
  <c r="Z105" i="17"/>
  <c r="Z106" i="17"/>
  <c r="Z107" i="17"/>
  <c r="Z108" i="17"/>
  <c r="Z109" i="17"/>
  <c r="Z110" i="17"/>
  <c r="Z111" i="17"/>
  <c r="Z112" i="17"/>
  <c r="Z113" i="17"/>
  <c r="Z114" i="17"/>
  <c r="Z115" i="17"/>
  <c r="Z116" i="17"/>
  <c r="Z117" i="17"/>
  <c r="Z118" i="17"/>
  <c r="Z119" i="17"/>
  <c r="Z120" i="17"/>
  <c r="Z121" i="17"/>
  <c r="Z122" i="17"/>
  <c r="Z123" i="17"/>
  <c r="Z124" i="17"/>
  <c r="Z125" i="17"/>
  <c r="Z126" i="17"/>
  <c r="Z127" i="17"/>
  <c r="Z128" i="17"/>
  <c r="Z129" i="17"/>
  <c r="Z130" i="17"/>
  <c r="Z131" i="17"/>
  <c r="Z132" i="17"/>
  <c r="Z133" i="17"/>
  <c r="Z134" i="17"/>
  <c r="Z135" i="17"/>
  <c r="Z136" i="17"/>
  <c r="Z137" i="17"/>
  <c r="Z138" i="17"/>
  <c r="Z139" i="17"/>
  <c r="Z140" i="17"/>
  <c r="Z141" i="17"/>
  <c r="Z142" i="17"/>
  <c r="Z143" i="17"/>
  <c r="Z144" i="17"/>
  <c r="Z145" i="17"/>
  <c r="Z146" i="17"/>
  <c r="Z147" i="17"/>
  <c r="Z148" i="17"/>
  <c r="Z149" i="17"/>
  <c r="Z150" i="17"/>
  <c r="Z151" i="17"/>
  <c r="Z152" i="17"/>
  <c r="Z153" i="17"/>
  <c r="Z154" i="17"/>
  <c r="Z155" i="17"/>
  <c r="Z156" i="17"/>
  <c r="Z157" i="17"/>
  <c r="Z158" i="17"/>
  <c r="Z159" i="17"/>
  <c r="Z160" i="17"/>
  <c r="Z161" i="17"/>
  <c r="Z162" i="17"/>
  <c r="Z163" i="17"/>
  <c r="Z164" i="17"/>
  <c r="Z165" i="17"/>
  <c r="Z166" i="17"/>
  <c r="Z167" i="17"/>
  <c r="Z168" i="17"/>
  <c r="Z169" i="17"/>
  <c r="Z170" i="17"/>
  <c r="Z171" i="17"/>
  <c r="Z172" i="17"/>
  <c r="Z173" i="17"/>
  <c r="Z174" i="17"/>
  <c r="Z175" i="17"/>
  <c r="Z176" i="17"/>
  <c r="Z177" i="17"/>
  <c r="Z178" i="17"/>
  <c r="Z179" i="17"/>
  <c r="Z180" i="17"/>
  <c r="Z181" i="17"/>
  <c r="Z182" i="17"/>
  <c r="Z183" i="17"/>
  <c r="Z184" i="17"/>
  <c r="Z185" i="17"/>
  <c r="Z186" i="17"/>
  <c r="Z187" i="17"/>
  <c r="Z188" i="17"/>
  <c r="Z189" i="17"/>
  <c r="Z190" i="17"/>
  <c r="Z191" i="17"/>
  <c r="Z192" i="17"/>
  <c r="Z193" i="17"/>
  <c r="Z194" i="17"/>
  <c r="Z195" i="17"/>
  <c r="Z196" i="17"/>
  <c r="Z197" i="17"/>
  <c r="Z198" i="17"/>
  <c r="Z199" i="17"/>
  <c r="Z200" i="17"/>
  <c r="Z201" i="17"/>
  <c r="Z202" i="17"/>
  <c r="Z203" i="17"/>
  <c r="Z204" i="17"/>
  <c r="Z205" i="17"/>
  <c r="Z206" i="17"/>
  <c r="Z207" i="17"/>
  <c r="Z208" i="17"/>
  <c r="Z209" i="17"/>
  <c r="Z210" i="17"/>
  <c r="Z211" i="17"/>
  <c r="Z212" i="17"/>
  <c r="Z213" i="17"/>
  <c r="Z214" i="17"/>
  <c r="Z215" i="17"/>
  <c r="Z216" i="17"/>
  <c r="Z217" i="17"/>
  <c r="Z218" i="17"/>
  <c r="Z219" i="17"/>
  <c r="Z220" i="17"/>
  <c r="Z221" i="17"/>
  <c r="Z222" i="17"/>
  <c r="Z223" i="17"/>
  <c r="Z224" i="17"/>
  <c r="Z225" i="17"/>
  <c r="Z226" i="17"/>
  <c r="Z227" i="17"/>
  <c r="Z228" i="17"/>
  <c r="Z229" i="17"/>
  <c r="Z230" i="17"/>
  <c r="Z231" i="17"/>
  <c r="Z232" i="17"/>
  <c r="Z233" i="17"/>
  <c r="Z234" i="17"/>
  <c r="Z235" i="17"/>
  <c r="Z236" i="17"/>
  <c r="Z237" i="17"/>
  <c r="Z238" i="17"/>
  <c r="Z239" i="17"/>
  <c r="Z240" i="17"/>
  <c r="Z241" i="17"/>
  <c r="Z242" i="17"/>
  <c r="Z243" i="17"/>
  <c r="Z244" i="17"/>
  <c r="Z245" i="17"/>
  <c r="Z246" i="17"/>
  <c r="Z247" i="17"/>
  <c r="Z248" i="17"/>
  <c r="Z249" i="17"/>
  <c r="Z250" i="17"/>
  <c r="Z251" i="17"/>
  <c r="Z252" i="17"/>
  <c r="Z253" i="17"/>
  <c r="Z254" i="17"/>
  <c r="Z255" i="17"/>
  <c r="Z256" i="17"/>
  <c r="Z257" i="17"/>
  <c r="Z258" i="17"/>
  <c r="Z259" i="17"/>
  <c r="Z260" i="17"/>
  <c r="Z261" i="17"/>
  <c r="Z262" i="17"/>
  <c r="Z263" i="17"/>
  <c r="Z264" i="17"/>
  <c r="Z265" i="17"/>
  <c r="Z266" i="17"/>
  <c r="Z267" i="17"/>
  <c r="Z268" i="17"/>
  <c r="Z269" i="17"/>
  <c r="Z270" i="17"/>
  <c r="Z271" i="17"/>
  <c r="Z272" i="17"/>
  <c r="Z273" i="17"/>
  <c r="Z274" i="17"/>
  <c r="Z275" i="17"/>
  <c r="Z276" i="17"/>
  <c r="Z277" i="17"/>
  <c r="Z278" i="17"/>
  <c r="Z279" i="17"/>
  <c r="Z280" i="17"/>
  <c r="Z281" i="17"/>
  <c r="Z282" i="17"/>
  <c r="Z283" i="17"/>
  <c r="Z284" i="17"/>
  <c r="Z285" i="17"/>
  <c r="Z286" i="17"/>
  <c r="Z287" i="17"/>
  <c r="Z288" i="17"/>
  <c r="Z289" i="17"/>
  <c r="Z290" i="17"/>
  <c r="Z291" i="17"/>
  <c r="Z292" i="17"/>
  <c r="Z293" i="17"/>
  <c r="Z294" i="17"/>
  <c r="Z295" i="17"/>
  <c r="Z296" i="17"/>
  <c r="Z297" i="17"/>
  <c r="Z298" i="17"/>
  <c r="Z299" i="17"/>
  <c r="Z300" i="17"/>
  <c r="Z301" i="17"/>
  <c r="Z302" i="17"/>
  <c r="Z303" i="17"/>
  <c r="Z304" i="17"/>
  <c r="Z305" i="17"/>
  <c r="Z306" i="17"/>
  <c r="Z307" i="17"/>
  <c r="Z308" i="17"/>
  <c r="Z309" i="17"/>
  <c r="Z310" i="17"/>
  <c r="Z311" i="17"/>
  <c r="Z312" i="17"/>
  <c r="Z313" i="17"/>
  <c r="Z314" i="17"/>
  <c r="Z315" i="17"/>
  <c r="Z316" i="17"/>
  <c r="Z317" i="17"/>
  <c r="Z318" i="17"/>
  <c r="Z319" i="17"/>
  <c r="Z320" i="17"/>
  <c r="Z321" i="17"/>
  <c r="Z322" i="17"/>
  <c r="Z323" i="17"/>
  <c r="Z324" i="17"/>
  <c r="Z325" i="17"/>
  <c r="Z326" i="17"/>
  <c r="Z327" i="17"/>
  <c r="Z328" i="17"/>
  <c r="Z329" i="17"/>
  <c r="Z330" i="17"/>
  <c r="Z331" i="17"/>
  <c r="Z332" i="17"/>
  <c r="Z333" i="17"/>
  <c r="Z334" i="17"/>
  <c r="Z335" i="17"/>
  <c r="Z336" i="17"/>
  <c r="Z337" i="17"/>
  <c r="Z338" i="17"/>
  <c r="Z339" i="17"/>
  <c r="Z340" i="17"/>
  <c r="Z341" i="17"/>
  <c r="Z342" i="17"/>
  <c r="Z343" i="17"/>
  <c r="Z344" i="17"/>
  <c r="Z345" i="17"/>
  <c r="Z346" i="17"/>
  <c r="Z347" i="17"/>
  <c r="Z348" i="17"/>
  <c r="Z349" i="17"/>
  <c r="Z350" i="17"/>
  <c r="Z351" i="17"/>
  <c r="Z352" i="17"/>
  <c r="Z353" i="17"/>
  <c r="Z354" i="17"/>
  <c r="Z355" i="17"/>
  <c r="Z356" i="17"/>
  <c r="Z357" i="17"/>
  <c r="Z358" i="17"/>
  <c r="Z359" i="17"/>
  <c r="Z360" i="17"/>
  <c r="Z361" i="17"/>
  <c r="Z362" i="17"/>
  <c r="Z363" i="17"/>
  <c r="Z364" i="17"/>
  <c r="Z365" i="17"/>
  <c r="Z366" i="17"/>
  <c r="Z367" i="17"/>
  <c r="Z368" i="17"/>
  <c r="Z369" i="17"/>
  <c r="Z370" i="17"/>
  <c r="Z371" i="17"/>
  <c r="Z372" i="17"/>
  <c r="Z373" i="17"/>
  <c r="Z374" i="17"/>
  <c r="Z375" i="17"/>
  <c r="Z376" i="17"/>
  <c r="Z377" i="17"/>
  <c r="Z378" i="17"/>
  <c r="Z379" i="17"/>
  <c r="Z380" i="17"/>
  <c r="Z381" i="17"/>
  <c r="Z382" i="17"/>
  <c r="Z383" i="17"/>
  <c r="Z384" i="17"/>
  <c r="Z385" i="17"/>
  <c r="Z386" i="17"/>
  <c r="Z387" i="17"/>
  <c r="Z388" i="17"/>
  <c r="Z389" i="17"/>
  <c r="Z390" i="17"/>
  <c r="Z391" i="17"/>
  <c r="Z392" i="17"/>
  <c r="Z393" i="17"/>
  <c r="Z394" i="17"/>
  <c r="Z395" i="17"/>
  <c r="Z396" i="17"/>
  <c r="Z397" i="17"/>
  <c r="Z398" i="17"/>
  <c r="Z399" i="17"/>
  <c r="Z400" i="17"/>
  <c r="Z401" i="17"/>
  <c r="Z402" i="17"/>
  <c r="Z403" i="17"/>
  <c r="Z404" i="17"/>
  <c r="Z405" i="17"/>
  <c r="Z406" i="17"/>
  <c r="Z407" i="17"/>
  <c r="Z408" i="17"/>
  <c r="Z409" i="17"/>
  <c r="Z410" i="17"/>
  <c r="Z411" i="17"/>
  <c r="Z412" i="17"/>
  <c r="Z413" i="17"/>
  <c r="Z414" i="17"/>
  <c r="Z415" i="17"/>
  <c r="Z416" i="17"/>
  <c r="Z417" i="17"/>
  <c r="Z418" i="17"/>
  <c r="Z419" i="17"/>
  <c r="Z420" i="17"/>
  <c r="Z421" i="17"/>
  <c r="Z422" i="17"/>
  <c r="Z423" i="17"/>
  <c r="Z424" i="17"/>
  <c r="Z425" i="17"/>
  <c r="Z426" i="17"/>
  <c r="Z427" i="17"/>
  <c r="Z428" i="17"/>
  <c r="Z429" i="17"/>
  <c r="Z430" i="17"/>
  <c r="Z431" i="17"/>
  <c r="Z432" i="17"/>
  <c r="Z433" i="17"/>
  <c r="Z434" i="17"/>
  <c r="Z435" i="17"/>
  <c r="Z436" i="17"/>
  <c r="Z437" i="17"/>
  <c r="Z438" i="17"/>
  <c r="Z439" i="17"/>
  <c r="Z440" i="17"/>
  <c r="Z441" i="17"/>
  <c r="Z442" i="17"/>
  <c r="Z443" i="17"/>
  <c r="Z444" i="17"/>
  <c r="Z445" i="17"/>
  <c r="Z446" i="17"/>
  <c r="Z447" i="17"/>
  <c r="Z448" i="17"/>
  <c r="Z449" i="17"/>
  <c r="Z450" i="17"/>
  <c r="Z451" i="17"/>
  <c r="Z452" i="17"/>
  <c r="Z453" i="17"/>
  <c r="Z454" i="17"/>
  <c r="Z455" i="17"/>
  <c r="Z456" i="17"/>
  <c r="Z457" i="17"/>
  <c r="Z458" i="17"/>
  <c r="Z459" i="17"/>
  <c r="Z460" i="17"/>
  <c r="Z461" i="17"/>
  <c r="Z462" i="17"/>
  <c r="Z463" i="17"/>
  <c r="Z464" i="17"/>
  <c r="Z465" i="17"/>
  <c r="Z466" i="17"/>
  <c r="Z467" i="17"/>
  <c r="Z468" i="17"/>
  <c r="Z469" i="17"/>
  <c r="Z470" i="17"/>
  <c r="Z471" i="17"/>
  <c r="Z472" i="17"/>
  <c r="Z473" i="17"/>
  <c r="Z474" i="17"/>
  <c r="Z475" i="17"/>
  <c r="Z476" i="17"/>
  <c r="Z477" i="17"/>
  <c r="Z478" i="17"/>
  <c r="Z479" i="17"/>
  <c r="Z480" i="17"/>
  <c r="Z481" i="17"/>
  <c r="Z482" i="17"/>
  <c r="Z483" i="17"/>
  <c r="Z484" i="17"/>
  <c r="Z485" i="17"/>
  <c r="Z486" i="17"/>
  <c r="Z487" i="17"/>
  <c r="Z488" i="17"/>
  <c r="Z489" i="17"/>
  <c r="Z490" i="17"/>
  <c r="Z491" i="17"/>
  <c r="Z492" i="17"/>
  <c r="Z493" i="17"/>
  <c r="Z494" i="17"/>
  <c r="Z495" i="17"/>
  <c r="Z496" i="17"/>
  <c r="Z497" i="17"/>
  <c r="Z498" i="17"/>
  <c r="Z499" i="17"/>
  <c r="Z500" i="17"/>
  <c r="Z6" i="17"/>
  <c r="Z7" i="16"/>
  <c r="Z8" i="16"/>
  <c r="Z9" i="16"/>
  <c r="Z10" i="16"/>
  <c r="Z11" i="16"/>
  <c r="Z12" i="16"/>
  <c r="Z13" i="16"/>
  <c r="Z14" i="16"/>
  <c r="Z15" i="16"/>
  <c r="Z16" i="16"/>
  <c r="Z17" i="16"/>
  <c r="Z18" i="16"/>
  <c r="Z19" i="16"/>
  <c r="Z20" i="16"/>
  <c r="Z21" i="16"/>
  <c r="Z22" i="16"/>
  <c r="Z23" i="16"/>
  <c r="Z24" i="16"/>
  <c r="Z25" i="16"/>
  <c r="Z26" i="16"/>
  <c r="Z27" i="16"/>
  <c r="Z28" i="16"/>
  <c r="Z29" i="16"/>
  <c r="Z30" i="16"/>
  <c r="Z31" i="16"/>
  <c r="Z32" i="16"/>
  <c r="Z33" i="16"/>
  <c r="Z34" i="16"/>
  <c r="Z35" i="16"/>
  <c r="Z36" i="16"/>
  <c r="Z37" i="16"/>
  <c r="Z38" i="16"/>
  <c r="Z39" i="16"/>
  <c r="Z40" i="16"/>
  <c r="Z41" i="16"/>
  <c r="Z42" i="16"/>
  <c r="Z43" i="16"/>
  <c r="Z44" i="16"/>
  <c r="Z45" i="16"/>
  <c r="Z46" i="16"/>
  <c r="Z47" i="16"/>
  <c r="Z48" i="16"/>
  <c r="Z49" i="16"/>
  <c r="Z50" i="16"/>
  <c r="Z51" i="16"/>
  <c r="Z52" i="16"/>
  <c r="Z53" i="16"/>
  <c r="Z54" i="16"/>
  <c r="Z55" i="16"/>
  <c r="Z56" i="16"/>
  <c r="Z57" i="16"/>
  <c r="Z58" i="16"/>
  <c r="Z59" i="16"/>
  <c r="Z60" i="16"/>
  <c r="Z61" i="16"/>
  <c r="Z62" i="16"/>
  <c r="Z63" i="16"/>
  <c r="Z64" i="16"/>
  <c r="Z65" i="16"/>
  <c r="Z66" i="16"/>
  <c r="Z67" i="16"/>
  <c r="Z68" i="16"/>
  <c r="Z69" i="16"/>
  <c r="Z70" i="16"/>
  <c r="Z71" i="16"/>
  <c r="Z72" i="16"/>
  <c r="Z73" i="16"/>
  <c r="Z74" i="16"/>
  <c r="Z75" i="16"/>
  <c r="Z76" i="16"/>
  <c r="Z77" i="16"/>
  <c r="Z78" i="16"/>
  <c r="Z79" i="16"/>
  <c r="Z80" i="16"/>
  <c r="Z81" i="16"/>
  <c r="Z82" i="16"/>
  <c r="Z83" i="16"/>
  <c r="Z84" i="16"/>
  <c r="Z85" i="16"/>
  <c r="Z86" i="16"/>
  <c r="Z87" i="16"/>
  <c r="Z88" i="16"/>
  <c r="Z89" i="16"/>
  <c r="Z90" i="16"/>
  <c r="Z91" i="16"/>
  <c r="Z92" i="16"/>
  <c r="Z93" i="16"/>
  <c r="Z94" i="16"/>
  <c r="Z95" i="16"/>
  <c r="Z96" i="16"/>
  <c r="Z97" i="16"/>
  <c r="Z98" i="16"/>
  <c r="Z99" i="16"/>
  <c r="Z100" i="16"/>
  <c r="Z101" i="16"/>
  <c r="Z102" i="16"/>
  <c r="Z103" i="16"/>
  <c r="Z104" i="16"/>
  <c r="Z105" i="16"/>
  <c r="Z106" i="16"/>
  <c r="Z107" i="16"/>
  <c r="Z108" i="16"/>
  <c r="Z109" i="16"/>
  <c r="Z110" i="16"/>
  <c r="Z111" i="16"/>
  <c r="Z112" i="16"/>
  <c r="Z113" i="16"/>
  <c r="Z114" i="16"/>
  <c r="Z115" i="16"/>
  <c r="Z116" i="16"/>
  <c r="Z117" i="16"/>
  <c r="Z118" i="16"/>
  <c r="Z119" i="16"/>
  <c r="Z120" i="16"/>
  <c r="Z121" i="16"/>
  <c r="Z122" i="16"/>
  <c r="Z123" i="16"/>
  <c r="Z124" i="16"/>
  <c r="Z125" i="16"/>
  <c r="Z126" i="16"/>
  <c r="Z127" i="16"/>
  <c r="Z128" i="16"/>
  <c r="Z129" i="16"/>
  <c r="Z130" i="16"/>
  <c r="Z131" i="16"/>
  <c r="Z132" i="16"/>
  <c r="Z133" i="16"/>
  <c r="Z134" i="16"/>
  <c r="Z135" i="16"/>
  <c r="Z136" i="16"/>
  <c r="Z137" i="16"/>
  <c r="Z138" i="16"/>
  <c r="Z139" i="16"/>
  <c r="Z140" i="16"/>
  <c r="Z141" i="16"/>
  <c r="Z142" i="16"/>
  <c r="Z143" i="16"/>
  <c r="Z144" i="16"/>
  <c r="Z145" i="16"/>
  <c r="Z146" i="16"/>
  <c r="Z147" i="16"/>
  <c r="Z148" i="16"/>
  <c r="Z149" i="16"/>
  <c r="Z150" i="16"/>
  <c r="Z151" i="16"/>
  <c r="Z152" i="16"/>
  <c r="Z153" i="16"/>
  <c r="Z154" i="16"/>
  <c r="Z155" i="16"/>
  <c r="Z156" i="16"/>
  <c r="Z157" i="16"/>
  <c r="Z158" i="16"/>
  <c r="Z159" i="16"/>
  <c r="Z160" i="16"/>
  <c r="Z161" i="16"/>
  <c r="Z162" i="16"/>
  <c r="Z163" i="16"/>
  <c r="Z164" i="16"/>
  <c r="Z165" i="16"/>
  <c r="Z166" i="16"/>
  <c r="Z167" i="16"/>
  <c r="Z168" i="16"/>
  <c r="Z169" i="16"/>
  <c r="Z170" i="16"/>
  <c r="Z171" i="16"/>
  <c r="Z172" i="16"/>
  <c r="Z173" i="16"/>
  <c r="Z174" i="16"/>
  <c r="Z175" i="16"/>
  <c r="Z176" i="16"/>
  <c r="Z177" i="16"/>
  <c r="Z178" i="16"/>
  <c r="Z179" i="16"/>
  <c r="Z180" i="16"/>
  <c r="Z181" i="16"/>
  <c r="Z182" i="16"/>
  <c r="Z183" i="16"/>
  <c r="Z184" i="16"/>
  <c r="Z185" i="16"/>
  <c r="Z186" i="16"/>
  <c r="Z187" i="16"/>
  <c r="Z188" i="16"/>
  <c r="Z189" i="16"/>
  <c r="Z190" i="16"/>
  <c r="Z191" i="16"/>
  <c r="Z192" i="16"/>
  <c r="Z193" i="16"/>
  <c r="Z194" i="16"/>
  <c r="Z195" i="16"/>
  <c r="Z196" i="16"/>
  <c r="Z197" i="16"/>
  <c r="Z198" i="16"/>
  <c r="Z199" i="16"/>
  <c r="Z200" i="16"/>
  <c r="Z201" i="16"/>
  <c r="Z202" i="16"/>
  <c r="Z203" i="16"/>
  <c r="Z204" i="16"/>
  <c r="Z205" i="16"/>
  <c r="Z206" i="16"/>
  <c r="Z207" i="16"/>
  <c r="Z208" i="16"/>
  <c r="Z209" i="16"/>
  <c r="Z210" i="16"/>
  <c r="Z211" i="16"/>
  <c r="Z212" i="16"/>
  <c r="Z213" i="16"/>
  <c r="Z214" i="16"/>
  <c r="Z215" i="16"/>
  <c r="Z216" i="16"/>
  <c r="Z217" i="16"/>
  <c r="Z218" i="16"/>
  <c r="Z219" i="16"/>
  <c r="Z220" i="16"/>
  <c r="Z221" i="16"/>
  <c r="Z222" i="16"/>
  <c r="Z223" i="16"/>
  <c r="Z224" i="16"/>
  <c r="Z225" i="16"/>
  <c r="Z226" i="16"/>
  <c r="Z227" i="16"/>
  <c r="Z228" i="16"/>
  <c r="Z229" i="16"/>
  <c r="Z230" i="16"/>
  <c r="Z231" i="16"/>
  <c r="Z232" i="16"/>
  <c r="Z233" i="16"/>
  <c r="Z234" i="16"/>
  <c r="Z235" i="16"/>
  <c r="Z236" i="16"/>
  <c r="Z237" i="16"/>
  <c r="Z238" i="16"/>
  <c r="Z239" i="16"/>
  <c r="Z240" i="16"/>
  <c r="Z241" i="16"/>
  <c r="Z242" i="16"/>
  <c r="Z243" i="16"/>
  <c r="Z244" i="16"/>
  <c r="Z245" i="16"/>
  <c r="Z246" i="16"/>
  <c r="Z247" i="16"/>
  <c r="Z248" i="16"/>
  <c r="Z249" i="16"/>
  <c r="Z250" i="16"/>
  <c r="Z251" i="16"/>
  <c r="Z252" i="16"/>
  <c r="Z253" i="16"/>
  <c r="Z254" i="16"/>
  <c r="Z255" i="16"/>
  <c r="Z256" i="16"/>
  <c r="Z257" i="16"/>
  <c r="Z258" i="16"/>
  <c r="Z259" i="16"/>
  <c r="Z260" i="16"/>
  <c r="Z261" i="16"/>
  <c r="Z262" i="16"/>
  <c r="Z263" i="16"/>
  <c r="Z264" i="16"/>
  <c r="Z265" i="16"/>
  <c r="Z266" i="16"/>
  <c r="Z267" i="16"/>
  <c r="Z268" i="16"/>
  <c r="Z269" i="16"/>
  <c r="Z270" i="16"/>
  <c r="Z271" i="16"/>
  <c r="Z272" i="16"/>
  <c r="Z273" i="16"/>
  <c r="Z274" i="16"/>
  <c r="Z275" i="16"/>
  <c r="Z276" i="16"/>
  <c r="Z277" i="16"/>
  <c r="Z278" i="16"/>
  <c r="Z279" i="16"/>
  <c r="Z280" i="16"/>
  <c r="Z281" i="16"/>
  <c r="Z282" i="16"/>
  <c r="Z283" i="16"/>
  <c r="Z284" i="16"/>
  <c r="Z285" i="16"/>
  <c r="Z286" i="16"/>
  <c r="Z287" i="16"/>
  <c r="Z288" i="16"/>
  <c r="Z289" i="16"/>
  <c r="Z290" i="16"/>
  <c r="Z291" i="16"/>
  <c r="Z292" i="16"/>
  <c r="Z293" i="16"/>
  <c r="Z294" i="16"/>
  <c r="Z295" i="16"/>
  <c r="Z296" i="16"/>
  <c r="Z297" i="16"/>
  <c r="Z298" i="16"/>
  <c r="Z299" i="16"/>
  <c r="Z300" i="16"/>
  <c r="Z301" i="16"/>
  <c r="Z302" i="16"/>
  <c r="Z303" i="16"/>
  <c r="Z304" i="16"/>
  <c r="Z305" i="16"/>
  <c r="Z306" i="16"/>
  <c r="Z307" i="16"/>
  <c r="Z308" i="16"/>
  <c r="Z309" i="16"/>
  <c r="Z310" i="16"/>
  <c r="Z311" i="16"/>
  <c r="Z312" i="16"/>
  <c r="Z313" i="16"/>
  <c r="Z314" i="16"/>
  <c r="Z315" i="16"/>
  <c r="Z316" i="16"/>
  <c r="Z317" i="16"/>
  <c r="Z318" i="16"/>
  <c r="Z319" i="16"/>
  <c r="Z320" i="16"/>
  <c r="Z321" i="16"/>
  <c r="Z322" i="16"/>
  <c r="Z323" i="16"/>
  <c r="Z324" i="16"/>
  <c r="Z325" i="16"/>
  <c r="Z326" i="16"/>
  <c r="Z327" i="16"/>
  <c r="Z328" i="16"/>
  <c r="Z329" i="16"/>
  <c r="Z330" i="16"/>
  <c r="Z331" i="16"/>
  <c r="Z332" i="16"/>
  <c r="Z333" i="16"/>
  <c r="Z334" i="16"/>
  <c r="Z335" i="16"/>
  <c r="Z336" i="16"/>
  <c r="Z337" i="16"/>
  <c r="Z338" i="16"/>
  <c r="Z339" i="16"/>
  <c r="Z340" i="16"/>
  <c r="Z341" i="16"/>
  <c r="Z342" i="16"/>
  <c r="Z343" i="16"/>
  <c r="Z344" i="16"/>
  <c r="Z345" i="16"/>
  <c r="Z346" i="16"/>
  <c r="Z347" i="16"/>
  <c r="Z348" i="16"/>
  <c r="Z349" i="16"/>
  <c r="Z350" i="16"/>
  <c r="Z351" i="16"/>
  <c r="Z352" i="16"/>
  <c r="Z353" i="16"/>
  <c r="Z354" i="16"/>
  <c r="Z355" i="16"/>
  <c r="Z356" i="16"/>
  <c r="Z357" i="16"/>
  <c r="Z358" i="16"/>
  <c r="Z359" i="16"/>
  <c r="Z360" i="16"/>
  <c r="Z361" i="16"/>
  <c r="Z362" i="16"/>
  <c r="Z363" i="16"/>
  <c r="Z364" i="16"/>
  <c r="Z365" i="16"/>
  <c r="Z366" i="16"/>
  <c r="Z367" i="16"/>
  <c r="Z368" i="16"/>
  <c r="Z369" i="16"/>
  <c r="Z370" i="16"/>
  <c r="Z371" i="16"/>
  <c r="Z372" i="16"/>
  <c r="Z373" i="16"/>
  <c r="Z374" i="16"/>
  <c r="Z375" i="16"/>
  <c r="Z376" i="16"/>
  <c r="Z377" i="16"/>
  <c r="Z378" i="16"/>
  <c r="Z379" i="16"/>
  <c r="Z380" i="16"/>
  <c r="Z381" i="16"/>
  <c r="Z382" i="16"/>
  <c r="Z383" i="16"/>
  <c r="Z384" i="16"/>
  <c r="Z385" i="16"/>
  <c r="Z386" i="16"/>
  <c r="Z387" i="16"/>
  <c r="Z388" i="16"/>
  <c r="Z389" i="16"/>
  <c r="Z390" i="16"/>
  <c r="Z391" i="16"/>
  <c r="Z392" i="16"/>
  <c r="Z393" i="16"/>
  <c r="Z394" i="16"/>
  <c r="Z395" i="16"/>
  <c r="Z396" i="16"/>
  <c r="Z397" i="16"/>
  <c r="Z398" i="16"/>
  <c r="Z399" i="16"/>
  <c r="Z400" i="16"/>
  <c r="Z401" i="16"/>
  <c r="Z402" i="16"/>
  <c r="Z403" i="16"/>
  <c r="Z404" i="16"/>
  <c r="Z405" i="16"/>
  <c r="Z406" i="16"/>
  <c r="Z407" i="16"/>
  <c r="Z408" i="16"/>
  <c r="Z409" i="16"/>
  <c r="Z410" i="16"/>
  <c r="Z411" i="16"/>
  <c r="Z412" i="16"/>
  <c r="Z413" i="16"/>
  <c r="Z414" i="16"/>
  <c r="Z415" i="16"/>
  <c r="Z416" i="16"/>
  <c r="Z417" i="16"/>
  <c r="Z418" i="16"/>
  <c r="Z419" i="16"/>
  <c r="Z420" i="16"/>
  <c r="Z421" i="16"/>
  <c r="Z422" i="16"/>
  <c r="Z423" i="16"/>
  <c r="Z424" i="16"/>
  <c r="Z425" i="16"/>
  <c r="Z426" i="16"/>
  <c r="Z427" i="16"/>
  <c r="Z428" i="16"/>
  <c r="Z429" i="16"/>
  <c r="Z430" i="16"/>
  <c r="Z431" i="16"/>
  <c r="Z432" i="16"/>
  <c r="Z433" i="16"/>
  <c r="Z434" i="16"/>
  <c r="Z435" i="16"/>
  <c r="Z436" i="16"/>
  <c r="Z437" i="16"/>
  <c r="Z438" i="16"/>
  <c r="Z439" i="16"/>
  <c r="Z440" i="16"/>
  <c r="Z441" i="16"/>
  <c r="Z442" i="16"/>
  <c r="Z443" i="16"/>
  <c r="Z444" i="16"/>
  <c r="Z445" i="16"/>
  <c r="Z446" i="16"/>
  <c r="Z447" i="16"/>
  <c r="Z448" i="16"/>
  <c r="Z449" i="16"/>
  <c r="Z450" i="16"/>
  <c r="Z451" i="16"/>
  <c r="Z452" i="16"/>
  <c r="Z453" i="16"/>
  <c r="Z454" i="16"/>
  <c r="Z455" i="16"/>
  <c r="Z456" i="16"/>
  <c r="Z457" i="16"/>
  <c r="Z458" i="16"/>
  <c r="Z459" i="16"/>
  <c r="Z460" i="16"/>
  <c r="Z461" i="16"/>
  <c r="Z462" i="16"/>
  <c r="Z463" i="16"/>
  <c r="Z464" i="16"/>
  <c r="Z465" i="16"/>
  <c r="Z466" i="16"/>
  <c r="Z467" i="16"/>
  <c r="Z468" i="16"/>
  <c r="Z469" i="16"/>
  <c r="Z470" i="16"/>
  <c r="Z471" i="16"/>
  <c r="Z472" i="16"/>
  <c r="Z473" i="16"/>
  <c r="Z474" i="16"/>
  <c r="Z475" i="16"/>
  <c r="Z476" i="16"/>
  <c r="Z477" i="16"/>
  <c r="Z478" i="16"/>
  <c r="Z479" i="16"/>
  <c r="Z480" i="16"/>
  <c r="Z481" i="16"/>
  <c r="Z482" i="16"/>
  <c r="Z483" i="16"/>
  <c r="Z484" i="16"/>
  <c r="Z485" i="16"/>
  <c r="Z486" i="16"/>
  <c r="Z487" i="16"/>
  <c r="Z488" i="16"/>
  <c r="Z489" i="16"/>
  <c r="Z490" i="16"/>
  <c r="Z491" i="16"/>
  <c r="Z492" i="16"/>
  <c r="Z493" i="16"/>
  <c r="Z494" i="16"/>
  <c r="Z495" i="16"/>
  <c r="Z496" i="16"/>
  <c r="Z497" i="16"/>
  <c r="Z498" i="16"/>
  <c r="Z499" i="16"/>
  <c r="Z500" i="16"/>
  <c r="Z6" i="16"/>
  <c r="Z7" i="15"/>
  <c r="Z8" i="15"/>
  <c r="Z9" i="15"/>
  <c r="Z10" i="15"/>
  <c r="Z11" i="15"/>
  <c r="Z12" i="15"/>
  <c r="Z13" i="15"/>
  <c r="Z14" i="15"/>
  <c r="Z15" i="15"/>
  <c r="Z16" i="15"/>
  <c r="Z17" i="15"/>
  <c r="Z18" i="15"/>
  <c r="Z19" i="15"/>
  <c r="Z20" i="15"/>
  <c r="Z21" i="15"/>
  <c r="Z22" i="15"/>
  <c r="Z23" i="15"/>
  <c r="Z24" i="15"/>
  <c r="Z25" i="15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Z39" i="15"/>
  <c r="Z40" i="15"/>
  <c r="Z41" i="15"/>
  <c r="Z42" i="15"/>
  <c r="Z43" i="15"/>
  <c r="Z44" i="15"/>
  <c r="Z45" i="15"/>
  <c r="Z46" i="15"/>
  <c r="Z47" i="15"/>
  <c r="Z48" i="15"/>
  <c r="Z49" i="15"/>
  <c r="Z50" i="15"/>
  <c r="Z51" i="15"/>
  <c r="Z52" i="15"/>
  <c r="Z53" i="15"/>
  <c r="Z54" i="15"/>
  <c r="Z55" i="15"/>
  <c r="Z56" i="15"/>
  <c r="Z57" i="15"/>
  <c r="Z58" i="15"/>
  <c r="Z59" i="15"/>
  <c r="Z60" i="15"/>
  <c r="Z61" i="15"/>
  <c r="Z62" i="15"/>
  <c r="Z63" i="15"/>
  <c r="Z64" i="15"/>
  <c r="Z65" i="15"/>
  <c r="Z66" i="15"/>
  <c r="Z67" i="15"/>
  <c r="Z68" i="15"/>
  <c r="Z69" i="15"/>
  <c r="Z70" i="15"/>
  <c r="Z71" i="15"/>
  <c r="Z72" i="15"/>
  <c r="Z73" i="15"/>
  <c r="Z74" i="15"/>
  <c r="Z75" i="15"/>
  <c r="Z76" i="15"/>
  <c r="Z77" i="15"/>
  <c r="Z78" i="15"/>
  <c r="Z79" i="15"/>
  <c r="Z80" i="15"/>
  <c r="Z81" i="15"/>
  <c r="Z82" i="15"/>
  <c r="Z83" i="15"/>
  <c r="Z84" i="15"/>
  <c r="Z85" i="15"/>
  <c r="Z86" i="15"/>
  <c r="Z87" i="15"/>
  <c r="Z88" i="15"/>
  <c r="Z89" i="15"/>
  <c r="Z90" i="15"/>
  <c r="Z91" i="15"/>
  <c r="Z92" i="15"/>
  <c r="Z93" i="15"/>
  <c r="Z94" i="15"/>
  <c r="Z95" i="15"/>
  <c r="Z96" i="15"/>
  <c r="Z97" i="15"/>
  <c r="Z98" i="15"/>
  <c r="Z99" i="15"/>
  <c r="Z100" i="15"/>
  <c r="Z101" i="15"/>
  <c r="Z102" i="15"/>
  <c r="Z103" i="15"/>
  <c r="Z104" i="15"/>
  <c r="Z105" i="15"/>
  <c r="Z106" i="15"/>
  <c r="Z107" i="15"/>
  <c r="Z108" i="15"/>
  <c r="Z109" i="15"/>
  <c r="Z110" i="15"/>
  <c r="Z111" i="15"/>
  <c r="Z112" i="15"/>
  <c r="Z113" i="15"/>
  <c r="Z114" i="15"/>
  <c r="Z115" i="15"/>
  <c r="Z116" i="15"/>
  <c r="Z117" i="15"/>
  <c r="Z118" i="15"/>
  <c r="Z119" i="15"/>
  <c r="Z120" i="15"/>
  <c r="Z121" i="15"/>
  <c r="Z122" i="15"/>
  <c r="Z123" i="15"/>
  <c r="Z124" i="15"/>
  <c r="Z125" i="15"/>
  <c r="Z126" i="15"/>
  <c r="Z127" i="15"/>
  <c r="Z128" i="15"/>
  <c r="Z129" i="15"/>
  <c r="Z130" i="15"/>
  <c r="Z131" i="15"/>
  <c r="Z132" i="15"/>
  <c r="Z133" i="15"/>
  <c r="Z134" i="15"/>
  <c r="Z135" i="15"/>
  <c r="Z136" i="15"/>
  <c r="Z137" i="15"/>
  <c r="Z138" i="15"/>
  <c r="Z139" i="15"/>
  <c r="Z140" i="15"/>
  <c r="Z141" i="15"/>
  <c r="Z142" i="15"/>
  <c r="Z143" i="15"/>
  <c r="Z144" i="15"/>
  <c r="Z145" i="15"/>
  <c r="Z146" i="15"/>
  <c r="Z147" i="15"/>
  <c r="Z148" i="15"/>
  <c r="Z149" i="15"/>
  <c r="Z150" i="15"/>
  <c r="Z151" i="15"/>
  <c r="Z152" i="15"/>
  <c r="Z153" i="15"/>
  <c r="Z154" i="15"/>
  <c r="Z155" i="15"/>
  <c r="Z156" i="15"/>
  <c r="Z157" i="15"/>
  <c r="Z158" i="15"/>
  <c r="Z159" i="15"/>
  <c r="Z160" i="15"/>
  <c r="Z161" i="15"/>
  <c r="Z162" i="15"/>
  <c r="Z163" i="15"/>
  <c r="Z164" i="15"/>
  <c r="Z165" i="15"/>
  <c r="Z166" i="15"/>
  <c r="Z167" i="15"/>
  <c r="Z168" i="15"/>
  <c r="Z169" i="15"/>
  <c r="Z170" i="15"/>
  <c r="Z171" i="15"/>
  <c r="Z172" i="15"/>
  <c r="Z173" i="15"/>
  <c r="Z174" i="15"/>
  <c r="Z175" i="15"/>
  <c r="Z176" i="15"/>
  <c r="Z177" i="15"/>
  <c r="Z178" i="15"/>
  <c r="Z179" i="15"/>
  <c r="Z180" i="15"/>
  <c r="Z181" i="15"/>
  <c r="Z182" i="15"/>
  <c r="Z183" i="15"/>
  <c r="Z184" i="15"/>
  <c r="Z185" i="15"/>
  <c r="Z186" i="15"/>
  <c r="Z187" i="15"/>
  <c r="Z188" i="15"/>
  <c r="Z189" i="15"/>
  <c r="Z190" i="15"/>
  <c r="Z191" i="15"/>
  <c r="Z192" i="15"/>
  <c r="Z193" i="15"/>
  <c r="Z194" i="15"/>
  <c r="Z195" i="15"/>
  <c r="Z196" i="15"/>
  <c r="Z197" i="15"/>
  <c r="Z198" i="15"/>
  <c r="Z199" i="15"/>
  <c r="Z200" i="15"/>
  <c r="Z201" i="15"/>
  <c r="Z202" i="15"/>
  <c r="Z203" i="15"/>
  <c r="Z204" i="15"/>
  <c r="Z205" i="15"/>
  <c r="Z206" i="15"/>
  <c r="Z207" i="15"/>
  <c r="Z208" i="15"/>
  <c r="Z209" i="15"/>
  <c r="Z210" i="15"/>
  <c r="Z211" i="15"/>
  <c r="Z212" i="15"/>
  <c r="Z213" i="15"/>
  <c r="Z214" i="15"/>
  <c r="Z215" i="15"/>
  <c r="Z216" i="15"/>
  <c r="Z217" i="15"/>
  <c r="Z218" i="15"/>
  <c r="Z219" i="15"/>
  <c r="Z220" i="15"/>
  <c r="Z221" i="15"/>
  <c r="Z222" i="15"/>
  <c r="Z223" i="15"/>
  <c r="Z224" i="15"/>
  <c r="Z225" i="15"/>
  <c r="Z226" i="15"/>
  <c r="Z227" i="15"/>
  <c r="Z228" i="15"/>
  <c r="Z229" i="15"/>
  <c r="Z230" i="15"/>
  <c r="Z231" i="15"/>
  <c r="Z232" i="15"/>
  <c r="Z233" i="15"/>
  <c r="Z234" i="15"/>
  <c r="Z235" i="15"/>
  <c r="Z236" i="15"/>
  <c r="Z237" i="15"/>
  <c r="Z238" i="15"/>
  <c r="Z239" i="15"/>
  <c r="Z240" i="15"/>
  <c r="Z241" i="15"/>
  <c r="Z242" i="15"/>
  <c r="Z243" i="15"/>
  <c r="Z244" i="15"/>
  <c r="Z245" i="15"/>
  <c r="Z246" i="15"/>
  <c r="Z247" i="15"/>
  <c r="Z248" i="15"/>
  <c r="Z249" i="15"/>
  <c r="Z250" i="15"/>
  <c r="Z251" i="15"/>
  <c r="Z252" i="15"/>
  <c r="Z253" i="15"/>
  <c r="Z254" i="15"/>
  <c r="Z255" i="15"/>
  <c r="Z256" i="15"/>
  <c r="Z257" i="15"/>
  <c r="Z258" i="15"/>
  <c r="Z259" i="15"/>
  <c r="Z260" i="15"/>
  <c r="Z261" i="15"/>
  <c r="Z262" i="15"/>
  <c r="Z263" i="15"/>
  <c r="Z264" i="15"/>
  <c r="Z265" i="15"/>
  <c r="Z266" i="15"/>
  <c r="Z267" i="15"/>
  <c r="Z268" i="15"/>
  <c r="Z269" i="15"/>
  <c r="Z270" i="15"/>
  <c r="Z271" i="15"/>
  <c r="Z272" i="15"/>
  <c r="Z273" i="15"/>
  <c r="Z274" i="15"/>
  <c r="Z275" i="15"/>
  <c r="Z276" i="15"/>
  <c r="Z277" i="15"/>
  <c r="Z278" i="15"/>
  <c r="Z279" i="15"/>
  <c r="Z280" i="15"/>
  <c r="Z281" i="15"/>
  <c r="Z282" i="15"/>
  <c r="Z283" i="15"/>
  <c r="Z284" i="15"/>
  <c r="Z285" i="15"/>
  <c r="Z286" i="15"/>
  <c r="Z287" i="15"/>
  <c r="Z288" i="15"/>
  <c r="Z289" i="15"/>
  <c r="Z290" i="15"/>
  <c r="Z291" i="15"/>
  <c r="Z292" i="15"/>
  <c r="Z293" i="15"/>
  <c r="Z294" i="15"/>
  <c r="Z295" i="15"/>
  <c r="Z296" i="15"/>
  <c r="Z297" i="15"/>
  <c r="Z298" i="15"/>
  <c r="Z299" i="15"/>
  <c r="Z300" i="15"/>
  <c r="Z301" i="15"/>
  <c r="Z302" i="15"/>
  <c r="Z303" i="15"/>
  <c r="Z304" i="15"/>
  <c r="Z305" i="15"/>
  <c r="Z306" i="15"/>
  <c r="Z307" i="15"/>
  <c r="Z308" i="15"/>
  <c r="Z309" i="15"/>
  <c r="Z310" i="15"/>
  <c r="Z311" i="15"/>
  <c r="Z312" i="15"/>
  <c r="Z313" i="15"/>
  <c r="Z314" i="15"/>
  <c r="Z315" i="15"/>
  <c r="Z316" i="15"/>
  <c r="Z317" i="15"/>
  <c r="Z318" i="15"/>
  <c r="Z319" i="15"/>
  <c r="Z320" i="15"/>
  <c r="Z321" i="15"/>
  <c r="Z322" i="15"/>
  <c r="Z323" i="15"/>
  <c r="Z324" i="15"/>
  <c r="Z325" i="15"/>
  <c r="Z326" i="15"/>
  <c r="Z327" i="15"/>
  <c r="Z328" i="15"/>
  <c r="Z329" i="15"/>
  <c r="Z330" i="15"/>
  <c r="Z331" i="15"/>
  <c r="Z332" i="15"/>
  <c r="Z333" i="15"/>
  <c r="Z334" i="15"/>
  <c r="Z335" i="15"/>
  <c r="Z336" i="15"/>
  <c r="Z337" i="15"/>
  <c r="Z338" i="15"/>
  <c r="Z339" i="15"/>
  <c r="Z340" i="15"/>
  <c r="Z341" i="15"/>
  <c r="Z342" i="15"/>
  <c r="Z343" i="15"/>
  <c r="Z344" i="15"/>
  <c r="Z345" i="15"/>
  <c r="Z346" i="15"/>
  <c r="Z347" i="15"/>
  <c r="Z348" i="15"/>
  <c r="Z349" i="15"/>
  <c r="Z350" i="15"/>
  <c r="Z351" i="15"/>
  <c r="Z352" i="15"/>
  <c r="Z353" i="15"/>
  <c r="Z354" i="15"/>
  <c r="Z355" i="15"/>
  <c r="Z356" i="15"/>
  <c r="Z357" i="15"/>
  <c r="Z358" i="15"/>
  <c r="Z359" i="15"/>
  <c r="Z360" i="15"/>
  <c r="Z361" i="15"/>
  <c r="Z362" i="15"/>
  <c r="Z363" i="15"/>
  <c r="Z364" i="15"/>
  <c r="Z365" i="15"/>
  <c r="Z366" i="15"/>
  <c r="Z367" i="15"/>
  <c r="Z368" i="15"/>
  <c r="Z369" i="15"/>
  <c r="Z370" i="15"/>
  <c r="Z371" i="15"/>
  <c r="Z372" i="15"/>
  <c r="Z373" i="15"/>
  <c r="Z374" i="15"/>
  <c r="Z375" i="15"/>
  <c r="Z376" i="15"/>
  <c r="Z377" i="15"/>
  <c r="Z378" i="15"/>
  <c r="Z379" i="15"/>
  <c r="Z380" i="15"/>
  <c r="Z381" i="15"/>
  <c r="Z382" i="15"/>
  <c r="Z383" i="15"/>
  <c r="Z384" i="15"/>
  <c r="Z385" i="15"/>
  <c r="Z386" i="15"/>
  <c r="Z387" i="15"/>
  <c r="Z388" i="15"/>
  <c r="Z389" i="15"/>
  <c r="Z390" i="15"/>
  <c r="Z391" i="15"/>
  <c r="Z392" i="15"/>
  <c r="Z393" i="15"/>
  <c r="Z394" i="15"/>
  <c r="Z395" i="15"/>
  <c r="Z396" i="15"/>
  <c r="Z397" i="15"/>
  <c r="Z398" i="15"/>
  <c r="Z399" i="15"/>
  <c r="Z400" i="15"/>
  <c r="Z401" i="15"/>
  <c r="Z402" i="15"/>
  <c r="Z403" i="15"/>
  <c r="Z404" i="15"/>
  <c r="Z405" i="15"/>
  <c r="Z406" i="15"/>
  <c r="Z407" i="15"/>
  <c r="Z408" i="15"/>
  <c r="Z409" i="15"/>
  <c r="Z410" i="15"/>
  <c r="Z411" i="15"/>
  <c r="Z412" i="15"/>
  <c r="Z413" i="15"/>
  <c r="Z414" i="15"/>
  <c r="Z415" i="15"/>
  <c r="Z416" i="15"/>
  <c r="Z417" i="15"/>
  <c r="Z418" i="15"/>
  <c r="Z419" i="15"/>
  <c r="Z420" i="15"/>
  <c r="Z421" i="15"/>
  <c r="Z422" i="15"/>
  <c r="Z423" i="15"/>
  <c r="Z424" i="15"/>
  <c r="Z425" i="15"/>
  <c r="Z426" i="15"/>
  <c r="Z427" i="15"/>
  <c r="Z428" i="15"/>
  <c r="Z429" i="15"/>
  <c r="Z430" i="15"/>
  <c r="Z431" i="15"/>
  <c r="Z432" i="15"/>
  <c r="Z433" i="15"/>
  <c r="Z434" i="15"/>
  <c r="Z435" i="15"/>
  <c r="Z436" i="15"/>
  <c r="Z437" i="15"/>
  <c r="Z438" i="15"/>
  <c r="Z439" i="15"/>
  <c r="Z440" i="15"/>
  <c r="Z441" i="15"/>
  <c r="Z442" i="15"/>
  <c r="Z443" i="15"/>
  <c r="Z444" i="15"/>
  <c r="Z445" i="15"/>
  <c r="Z446" i="15"/>
  <c r="Z447" i="15"/>
  <c r="Z448" i="15"/>
  <c r="Z449" i="15"/>
  <c r="Z450" i="15"/>
  <c r="Z451" i="15"/>
  <c r="Z452" i="15"/>
  <c r="Z453" i="15"/>
  <c r="Z454" i="15"/>
  <c r="Z455" i="15"/>
  <c r="Z456" i="15"/>
  <c r="Z457" i="15"/>
  <c r="Z458" i="15"/>
  <c r="Z459" i="15"/>
  <c r="Z460" i="15"/>
  <c r="Z461" i="15"/>
  <c r="Z462" i="15"/>
  <c r="Z463" i="15"/>
  <c r="Z464" i="15"/>
  <c r="Z465" i="15"/>
  <c r="Z466" i="15"/>
  <c r="Z467" i="15"/>
  <c r="Z468" i="15"/>
  <c r="Z469" i="15"/>
  <c r="Z470" i="15"/>
  <c r="Z471" i="15"/>
  <c r="Z472" i="15"/>
  <c r="Z473" i="15"/>
  <c r="Z474" i="15"/>
  <c r="Z475" i="15"/>
  <c r="Z476" i="15"/>
  <c r="Z477" i="15"/>
  <c r="Z478" i="15"/>
  <c r="Z479" i="15"/>
  <c r="Z480" i="15"/>
  <c r="Z481" i="15"/>
  <c r="Z482" i="15"/>
  <c r="Z483" i="15"/>
  <c r="Z484" i="15"/>
  <c r="Z485" i="15"/>
  <c r="Z486" i="15"/>
  <c r="Z487" i="15"/>
  <c r="Z488" i="15"/>
  <c r="Z489" i="15"/>
  <c r="Z490" i="15"/>
  <c r="Z491" i="15"/>
  <c r="Z492" i="15"/>
  <c r="Z493" i="15"/>
  <c r="Z494" i="15"/>
  <c r="Z495" i="15"/>
  <c r="Z496" i="15"/>
  <c r="Z497" i="15"/>
  <c r="Z498" i="15"/>
  <c r="Z499" i="15"/>
  <c r="Z500" i="15"/>
  <c r="Z6" i="15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Z32" i="14"/>
  <c r="Z33" i="14"/>
  <c r="Z34" i="14"/>
  <c r="Z35" i="14"/>
  <c r="Z36" i="14"/>
  <c r="Z37" i="14"/>
  <c r="Z38" i="14"/>
  <c r="Z39" i="14"/>
  <c r="Z40" i="14"/>
  <c r="Z41" i="14"/>
  <c r="Z42" i="14"/>
  <c r="Z43" i="14"/>
  <c r="Z44" i="14"/>
  <c r="Z45" i="14"/>
  <c r="Z46" i="14"/>
  <c r="Z47" i="14"/>
  <c r="Z48" i="14"/>
  <c r="Z49" i="14"/>
  <c r="Z50" i="14"/>
  <c r="Z51" i="14"/>
  <c r="Z52" i="14"/>
  <c r="Z53" i="14"/>
  <c r="Z54" i="14"/>
  <c r="Z55" i="14"/>
  <c r="Z56" i="14"/>
  <c r="Z57" i="14"/>
  <c r="Z58" i="14"/>
  <c r="Z59" i="14"/>
  <c r="Z60" i="14"/>
  <c r="Z61" i="14"/>
  <c r="Z62" i="14"/>
  <c r="Z63" i="14"/>
  <c r="Z64" i="14"/>
  <c r="Z65" i="14"/>
  <c r="Z66" i="14"/>
  <c r="Z67" i="14"/>
  <c r="Z68" i="14"/>
  <c r="Z69" i="14"/>
  <c r="Z70" i="14"/>
  <c r="Z71" i="14"/>
  <c r="Z72" i="14"/>
  <c r="Z73" i="14"/>
  <c r="Z74" i="14"/>
  <c r="Z75" i="14"/>
  <c r="Z76" i="14"/>
  <c r="Z77" i="14"/>
  <c r="Z78" i="14"/>
  <c r="Z79" i="14"/>
  <c r="Z80" i="14"/>
  <c r="Z81" i="14"/>
  <c r="Z82" i="14"/>
  <c r="Z83" i="14"/>
  <c r="Z84" i="14"/>
  <c r="Z85" i="14"/>
  <c r="Z86" i="14"/>
  <c r="Z87" i="14"/>
  <c r="Z88" i="14"/>
  <c r="Z89" i="14"/>
  <c r="Z90" i="14"/>
  <c r="Z91" i="14"/>
  <c r="Z92" i="14"/>
  <c r="Z93" i="14"/>
  <c r="Z94" i="14"/>
  <c r="Z95" i="14"/>
  <c r="Z96" i="14"/>
  <c r="Z97" i="14"/>
  <c r="Z98" i="14"/>
  <c r="Z99" i="14"/>
  <c r="Z100" i="14"/>
  <c r="Z101" i="14"/>
  <c r="Z102" i="14"/>
  <c r="Z103" i="14"/>
  <c r="Z104" i="14"/>
  <c r="Z105" i="14"/>
  <c r="Z106" i="14"/>
  <c r="Z107" i="14"/>
  <c r="Z108" i="14"/>
  <c r="Z109" i="14"/>
  <c r="Z110" i="14"/>
  <c r="Z111" i="14"/>
  <c r="Z112" i="14"/>
  <c r="Z113" i="14"/>
  <c r="Z114" i="14"/>
  <c r="Z115" i="14"/>
  <c r="Z116" i="14"/>
  <c r="Z117" i="14"/>
  <c r="Z118" i="14"/>
  <c r="Z119" i="14"/>
  <c r="Z120" i="14"/>
  <c r="Z121" i="14"/>
  <c r="Z122" i="14"/>
  <c r="Z123" i="14"/>
  <c r="Z124" i="14"/>
  <c r="Z125" i="14"/>
  <c r="Z126" i="14"/>
  <c r="Z127" i="14"/>
  <c r="Z128" i="14"/>
  <c r="Z129" i="14"/>
  <c r="Z130" i="14"/>
  <c r="Z131" i="14"/>
  <c r="Z132" i="14"/>
  <c r="Z133" i="14"/>
  <c r="Z134" i="14"/>
  <c r="Z135" i="14"/>
  <c r="Z136" i="14"/>
  <c r="Z137" i="14"/>
  <c r="Z138" i="14"/>
  <c r="Z139" i="14"/>
  <c r="Z140" i="14"/>
  <c r="Z141" i="14"/>
  <c r="Z142" i="14"/>
  <c r="Z143" i="14"/>
  <c r="Z144" i="14"/>
  <c r="Z145" i="14"/>
  <c r="Z146" i="14"/>
  <c r="Z147" i="14"/>
  <c r="Z148" i="14"/>
  <c r="Z149" i="14"/>
  <c r="Z150" i="14"/>
  <c r="Z151" i="14"/>
  <c r="Z152" i="14"/>
  <c r="Z153" i="14"/>
  <c r="Z154" i="14"/>
  <c r="Z155" i="14"/>
  <c r="Z156" i="14"/>
  <c r="Z157" i="14"/>
  <c r="Z158" i="14"/>
  <c r="Z159" i="14"/>
  <c r="Z160" i="14"/>
  <c r="Z161" i="14"/>
  <c r="Z162" i="14"/>
  <c r="Z163" i="14"/>
  <c r="Z164" i="14"/>
  <c r="Z165" i="14"/>
  <c r="Z166" i="14"/>
  <c r="Z167" i="14"/>
  <c r="Z168" i="14"/>
  <c r="Z169" i="14"/>
  <c r="Z170" i="14"/>
  <c r="Z171" i="14"/>
  <c r="Z172" i="14"/>
  <c r="Z173" i="14"/>
  <c r="Z174" i="14"/>
  <c r="Z175" i="14"/>
  <c r="Z176" i="14"/>
  <c r="Z177" i="14"/>
  <c r="Z178" i="14"/>
  <c r="Z179" i="14"/>
  <c r="Z180" i="14"/>
  <c r="Z181" i="14"/>
  <c r="Z182" i="14"/>
  <c r="Z183" i="14"/>
  <c r="Z184" i="14"/>
  <c r="Z185" i="14"/>
  <c r="Z186" i="14"/>
  <c r="Z187" i="14"/>
  <c r="Z188" i="14"/>
  <c r="Z189" i="14"/>
  <c r="Z190" i="14"/>
  <c r="Z191" i="14"/>
  <c r="Z192" i="14"/>
  <c r="Z193" i="14"/>
  <c r="Z194" i="14"/>
  <c r="Z195" i="14"/>
  <c r="Z196" i="14"/>
  <c r="Z197" i="14"/>
  <c r="Z198" i="14"/>
  <c r="Z199" i="14"/>
  <c r="Z200" i="14"/>
  <c r="Z201" i="14"/>
  <c r="Z202" i="14"/>
  <c r="Z203" i="14"/>
  <c r="Z204" i="14"/>
  <c r="Z205" i="14"/>
  <c r="Z206" i="14"/>
  <c r="Z207" i="14"/>
  <c r="Z208" i="14"/>
  <c r="Z209" i="14"/>
  <c r="Z210" i="14"/>
  <c r="Z211" i="14"/>
  <c r="Z212" i="14"/>
  <c r="Z213" i="14"/>
  <c r="Z214" i="14"/>
  <c r="Z215" i="14"/>
  <c r="Z216" i="14"/>
  <c r="Z217" i="14"/>
  <c r="Z218" i="14"/>
  <c r="Z219" i="14"/>
  <c r="Z220" i="14"/>
  <c r="Z221" i="14"/>
  <c r="Z222" i="14"/>
  <c r="Z223" i="14"/>
  <c r="Z224" i="14"/>
  <c r="Z225" i="14"/>
  <c r="Z226" i="14"/>
  <c r="Z227" i="14"/>
  <c r="Z228" i="14"/>
  <c r="Z229" i="14"/>
  <c r="Z230" i="14"/>
  <c r="Z231" i="14"/>
  <c r="Z232" i="14"/>
  <c r="Z233" i="14"/>
  <c r="Z234" i="14"/>
  <c r="Z235" i="14"/>
  <c r="Z236" i="14"/>
  <c r="Z237" i="14"/>
  <c r="Z238" i="14"/>
  <c r="Z239" i="14"/>
  <c r="Z240" i="14"/>
  <c r="Z241" i="14"/>
  <c r="Z242" i="14"/>
  <c r="Z243" i="14"/>
  <c r="Z244" i="14"/>
  <c r="Z245" i="14"/>
  <c r="Z246" i="14"/>
  <c r="Z247" i="14"/>
  <c r="Z248" i="14"/>
  <c r="Z249" i="14"/>
  <c r="Z250" i="14"/>
  <c r="Z251" i="14"/>
  <c r="Z252" i="14"/>
  <c r="Z253" i="14"/>
  <c r="Z254" i="14"/>
  <c r="Z255" i="14"/>
  <c r="Z256" i="14"/>
  <c r="Z257" i="14"/>
  <c r="Z258" i="14"/>
  <c r="Z259" i="14"/>
  <c r="Z260" i="14"/>
  <c r="Z261" i="14"/>
  <c r="Z262" i="14"/>
  <c r="Z263" i="14"/>
  <c r="Z264" i="14"/>
  <c r="Z265" i="14"/>
  <c r="Z266" i="14"/>
  <c r="Z267" i="14"/>
  <c r="Z268" i="14"/>
  <c r="Z269" i="14"/>
  <c r="Z270" i="14"/>
  <c r="Z271" i="14"/>
  <c r="Z272" i="14"/>
  <c r="Z273" i="14"/>
  <c r="Z274" i="14"/>
  <c r="Z275" i="14"/>
  <c r="Z276" i="14"/>
  <c r="Z277" i="14"/>
  <c r="Z278" i="14"/>
  <c r="Z279" i="14"/>
  <c r="Z280" i="14"/>
  <c r="Z281" i="14"/>
  <c r="Z282" i="14"/>
  <c r="Z283" i="14"/>
  <c r="Z284" i="14"/>
  <c r="Z285" i="14"/>
  <c r="Z286" i="14"/>
  <c r="Z287" i="14"/>
  <c r="Z288" i="14"/>
  <c r="Z289" i="14"/>
  <c r="Z290" i="14"/>
  <c r="Z291" i="14"/>
  <c r="Z292" i="14"/>
  <c r="Z293" i="14"/>
  <c r="Z294" i="14"/>
  <c r="Z295" i="14"/>
  <c r="Z296" i="14"/>
  <c r="Z297" i="14"/>
  <c r="Z298" i="14"/>
  <c r="Z299" i="14"/>
  <c r="Z300" i="14"/>
  <c r="Z301" i="14"/>
  <c r="Z302" i="14"/>
  <c r="Z303" i="14"/>
  <c r="Z304" i="14"/>
  <c r="Z305" i="14"/>
  <c r="Z306" i="14"/>
  <c r="Z307" i="14"/>
  <c r="Z308" i="14"/>
  <c r="Z309" i="14"/>
  <c r="Z310" i="14"/>
  <c r="Z311" i="14"/>
  <c r="Z312" i="14"/>
  <c r="Z313" i="14"/>
  <c r="Z314" i="14"/>
  <c r="Z315" i="14"/>
  <c r="Z316" i="14"/>
  <c r="Z317" i="14"/>
  <c r="Z318" i="14"/>
  <c r="Z319" i="14"/>
  <c r="Z320" i="14"/>
  <c r="Z321" i="14"/>
  <c r="Z322" i="14"/>
  <c r="Z323" i="14"/>
  <c r="Z324" i="14"/>
  <c r="Z325" i="14"/>
  <c r="Z326" i="14"/>
  <c r="Z327" i="14"/>
  <c r="Z328" i="14"/>
  <c r="Z329" i="14"/>
  <c r="Z330" i="14"/>
  <c r="Z331" i="14"/>
  <c r="Z332" i="14"/>
  <c r="Z333" i="14"/>
  <c r="Z334" i="14"/>
  <c r="Z335" i="14"/>
  <c r="Z336" i="14"/>
  <c r="Z337" i="14"/>
  <c r="Z338" i="14"/>
  <c r="Z339" i="14"/>
  <c r="Z340" i="14"/>
  <c r="Z341" i="14"/>
  <c r="Z342" i="14"/>
  <c r="Z343" i="14"/>
  <c r="Z344" i="14"/>
  <c r="Z345" i="14"/>
  <c r="Z346" i="14"/>
  <c r="Z347" i="14"/>
  <c r="Z348" i="14"/>
  <c r="Z349" i="14"/>
  <c r="Z350" i="14"/>
  <c r="Z351" i="14"/>
  <c r="Z352" i="14"/>
  <c r="Z353" i="14"/>
  <c r="Z354" i="14"/>
  <c r="Z355" i="14"/>
  <c r="Z356" i="14"/>
  <c r="Z357" i="14"/>
  <c r="Z358" i="14"/>
  <c r="Z359" i="14"/>
  <c r="Z360" i="14"/>
  <c r="Z361" i="14"/>
  <c r="Z362" i="14"/>
  <c r="Z363" i="14"/>
  <c r="Z364" i="14"/>
  <c r="Z365" i="14"/>
  <c r="Z366" i="14"/>
  <c r="Z367" i="14"/>
  <c r="Z368" i="14"/>
  <c r="Z369" i="14"/>
  <c r="Z370" i="14"/>
  <c r="Z371" i="14"/>
  <c r="Z372" i="14"/>
  <c r="Z373" i="14"/>
  <c r="Z374" i="14"/>
  <c r="Z375" i="14"/>
  <c r="Z376" i="14"/>
  <c r="Z377" i="14"/>
  <c r="Z378" i="14"/>
  <c r="Z379" i="14"/>
  <c r="Z380" i="14"/>
  <c r="Z381" i="14"/>
  <c r="Z382" i="14"/>
  <c r="Z383" i="14"/>
  <c r="Z384" i="14"/>
  <c r="Z385" i="14"/>
  <c r="Z386" i="14"/>
  <c r="Z387" i="14"/>
  <c r="Z388" i="14"/>
  <c r="Z389" i="14"/>
  <c r="Z390" i="14"/>
  <c r="Z391" i="14"/>
  <c r="Z392" i="14"/>
  <c r="Z393" i="14"/>
  <c r="Z394" i="14"/>
  <c r="Z395" i="14"/>
  <c r="Z396" i="14"/>
  <c r="Z397" i="14"/>
  <c r="Z398" i="14"/>
  <c r="Z399" i="14"/>
  <c r="Z400" i="14"/>
  <c r="Z401" i="14"/>
  <c r="Z402" i="14"/>
  <c r="Z403" i="14"/>
  <c r="Z404" i="14"/>
  <c r="Z405" i="14"/>
  <c r="Z406" i="14"/>
  <c r="Z407" i="14"/>
  <c r="Z408" i="14"/>
  <c r="Z409" i="14"/>
  <c r="Z410" i="14"/>
  <c r="Z411" i="14"/>
  <c r="Z412" i="14"/>
  <c r="Z413" i="14"/>
  <c r="Z414" i="14"/>
  <c r="Z415" i="14"/>
  <c r="Z416" i="14"/>
  <c r="Z417" i="14"/>
  <c r="Z418" i="14"/>
  <c r="Z419" i="14"/>
  <c r="Z420" i="14"/>
  <c r="Z421" i="14"/>
  <c r="Z422" i="14"/>
  <c r="Z423" i="14"/>
  <c r="Z424" i="14"/>
  <c r="Z425" i="14"/>
  <c r="Z426" i="14"/>
  <c r="Z427" i="14"/>
  <c r="Z428" i="14"/>
  <c r="Z429" i="14"/>
  <c r="Z430" i="14"/>
  <c r="Z431" i="14"/>
  <c r="Z432" i="14"/>
  <c r="Z433" i="14"/>
  <c r="Z434" i="14"/>
  <c r="Z435" i="14"/>
  <c r="Z436" i="14"/>
  <c r="Z437" i="14"/>
  <c r="Z438" i="14"/>
  <c r="Z439" i="14"/>
  <c r="Z440" i="14"/>
  <c r="Z441" i="14"/>
  <c r="Z442" i="14"/>
  <c r="Z443" i="14"/>
  <c r="Z444" i="14"/>
  <c r="Z445" i="14"/>
  <c r="Z446" i="14"/>
  <c r="Z447" i="14"/>
  <c r="Z448" i="14"/>
  <c r="Z449" i="14"/>
  <c r="Z450" i="14"/>
  <c r="Z451" i="14"/>
  <c r="Z452" i="14"/>
  <c r="Z453" i="14"/>
  <c r="Z454" i="14"/>
  <c r="Z455" i="14"/>
  <c r="Z456" i="14"/>
  <c r="Z457" i="14"/>
  <c r="Z458" i="14"/>
  <c r="Z459" i="14"/>
  <c r="Z460" i="14"/>
  <c r="Z461" i="14"/>
  <c r="Z462" i="14"/>
  <c r="Z463" i="14"/>
  <c r="Z464" i="14"/>
  <c r="Z465" i="14"/>
  <c r="Z466" i="14"/>
  <c r="Z467" i="14"/>
  <c r="Z468" i="14"/>
  <c r="Z469" i="14"/>
  <c r="Z470" i="14"/>
  <c r="Z471" i="14"/>
  <c r="Z472" i="14"/>
  <c r="Z473" i="14"/>
  <c r="Z474" i="14"/>
  <c r="Z475" i="14"/>
  <c r="Z476" i="14"/>
  <c r="Z477" i="14"/>
  <c r="Z478" i="14"/>
  <c r="Z479" i="14"/>
  <c r="Z480" i="14"/>
  <c r="Z481" i="14"/>
  <c r="Z482" i="14"/>
  <c r="Z483" i="14"/>
  <c r="Z484" i="14"/>
  <c r="Z485" i="14"/>
  <c r="Z486" i="14"/>
  <c r="Z487" i="14"/>
  <c r="Z488" i="14"/>
  <c r="Z489" i="14"/>
  <c r="Z490" i="14"/>
  <c r="Z491" i="14"/>
  <c r="Z492" i="14"/>
  <c r="Z493" i="14"/>
  <c r="Z494" i="14"/>
  <c r="Z495" i="14"/>
  <c r="Z496" i="14"/>
  <c r="Z497" i="14"/>
  <c r="Z498" i="14"/>
  <c r="Z499" i="14"/>
  <c r="Z500" i="14"/>
  <c r="Z6" i="14"/>
  <c r="Z7" i="13"/>
  <c r="Z8" i="13"/>
  <c r="Z9" i="13"/>
  <c r="Z10" i="13"/>
  <c r="Z11" i="13"/>
  <c r="Z12" i="13"/>
  <c r="Z13" i="13"/>
  <c r="Z14" i="13"/>
  <c r="Z15" i="13"/>
  <c r="Z16" i="13"/>
  <c r="Z17" i="13"/>
  <c r="Z18" i="13"/>
  <c r="Z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64" i="13"/>
  <c r="Z65" i="13"/>
  <c r="Z66" i="13"/>
  <c r="Z67" i="13"/>
  <c r="Z68" i="13"/>
  <c r="Z69" i="13"/>
  <c r="Z70" i="13"/>
  <c r="Z71" i="13"/>
  <c r="Z72" i="13"/>
  <c r="Z73" i="13"/>
  <c r="Z74" i="13"/>
  <c r="Z75" i="13"/>
  <c r="Z76" i="13"/>
  <c r="Z77" i="13"/>
  <c r="Z78" i="13"/>
  <c r="Z79" i="13"/>
  <c r="Z80" i="13"/>
  <c r="Z81" i="13"/>
  <c r="Z82" i="13"/>
  <c r="Z83" i="13"/>
  <c r="Z84" i="13"/>
  <c r="Z85" i="13"/>
  <c r="Z86" i="13"/>
  <c r="Z87" i="13"/>
  <c r="Z88" i="13"/>
  <c r="Z89" i="13"/>
  <c r="Z90" i="13"/>
  <c r="Z91" i="13"/>
  <c r="Z92" i="13"/>
  <c r="Z93" i="13"/>
  <c r="Z94" i="13"/>
  <c r="Z95" i="13"/>
  <c r="Z96" i="13"/>
  <c r="Z97" i="13"/>
  <c r="Z98" i="13"/>
  <c r="Z99" i="13"/>
  <c r="Z100" i="13"/>
  <c r="Z101" i="13"/>
  <c r="Z102" i="13"/>
  <c r="Z103" i="13"/>
  <c r="Z104" i="13"/>
  <c r="Z105" i="13"/>
  <c r="Z106" i="13"/>
  <c r="Z107" i="13"/>
  <c r="Z108" i="13"/>
  <c r="Z109" i="13"/>
  <c r="Z110" i="13"/>
  <c r="Z111" i="13"/>
  <c r="Z112" i="13"/>
  <c r="Z113" i="13"/>
  <c r="Z114" i="13"/>
  <c r="Z115" i="13"/>
  <c r="Z116" i="13"/>
  <c r="Z117" i="13"/>
  <c r="Z118" i="13"/>
  <c r="Z119" i="13"/>
  <c r="Z120" i="13"/>
  <c r="Z121" i="13"/>
  <c r="Z122" i="13"/>
  <c r="Z123" i="13"/>
  <c r="Z124" i="13"/>
  <c r="Z125" i="13"/>
  <c r="Z126" i="13"/>
  <c r="Z127" i="13"/>
  <c r="Z128" i="13"/>
  <c r="Z129" i="13"/>
  <c r="Z130" i="13"/>
  <c r="Z131" i="13"/>
  <c r="Z132" i="13"/>
  <c r="Z133" i="13"/>
  <c r="Z134" i="13"/>
  <c r="Z135" i="13"/>
  <c r="Z136" i="13"/>
  <c r="Z137" i="13"/>
  <c r="Z138" i="13"/>
  <c r="Z139" i="13"/>
  <c r="Z140" i="13"/>
  <c r="Z141" i="13"/>
  <c r="Z142" i="13"/>
  <c r="Z143" i="13"/>
  <c r="Z144" i="13"/>
  <c r="Z145" i="13"/>
  <c r="Z146" i="13"/>
  <c r="Z147" i="13"/>
  <c r="Z148" i="13"/>
  <c r="Z149" i="13"/>
  <c r="Z150" i="13"/>
  <c r="Z151" i="13"/>
  <c r="Z152" i="13"/>
  <c r="Z153" i="13"/>
  <c r="Z154" i="13"/>
  <c r="Z155" i="13"/>
  <c r="Z156" i="13"/>
  <c r="Z157" i="13"/>
  <c r="Z158" i="13"/>
  <c r="Z159" i="13"/>
  <c r="Z160" i="13"/>
  <c r="Z161" i="13"/>
  <c r="Z162" i="13"/>
  <c r="Z163" i="13"/>
  <c r="Z164" i="13"/>
  <c r="Z165" i="13"/>
  <c r="Z166" i="13"/>
  <c r="Z167" i="13"/>
  <c r="Z168" i="13"/>
  <c r="Z169" i="13"/>
  <c r="Z170" i="13"/>
  <c r="Z171" i="13"/>
  <c r="Z172" i="13"/>
  <c r="Z173" i="13"/>
  <c r="Z174" i="13"/>
  <c r="Z175" i="13"/>
  <c r="Z176" i="13"/>
  <c r="Z177" i="13"/>
  <c r="Z178" i="13"/>
  <c r="Z179" i="13"/>
  <c r="Z180" i="13"/>
  <c r="Z181" i="13"/>
  <c r="Z182" i="13"/>
  <c r="Z183" i="13"/>
  <c r="Z184" i="13"/>
  <c r="Z185" i="13"/>
  <c r="Z186" i="13"/>
  <c r="Z187" i="13"/>
  <c r="Z188" i="13"/>
  <c r="Z189" i="13"/>
  <c r="Z190" i="13"/>
  <c r="Z191" i="13"/>
  <c r="Z192" i="13"/>
  <c r="Z193" i="13"/>
  <c r="Z194" i="13"/>
  <c r="Z195" i="13"/>
  <c r="Z196" i="13"/>
  <c r="Z197" i="13"/>
  <c r="Z198" i="13"/>
  <c r="Z199" i="13"/>
  <c r="Z200" i="13"/>
  <c r="Z201" i="13"/>
  <c r="Z202" i="13"/>
  <c r="Z203" i="13"/>
  <c r="Z204" i="13"/>
  <c r="Z205" i="13"/>
  <c r="Z206" i="13"/>
  <c r="Z207" i="13"/>
  <c r="Z208" i="13"/>
  <c r="Z209" i="13"/>
  <c r="Z210" i="13"/>
  <c r="Z211" i="13"/>
  <c r="Z212" i="13"/>
  <c r="Z213" i="13"/>
  <c r="Z214" i="13"/>
  <c r="Z215" i="13"/>
  <c r="Z216" i="13"/>
  <c r="Z217" i="13"/>
  <c r="Z218" i="13"/>
  <c r="Z219" i="13"/>
  <c r="Z220" i="13"/>
  <c r="Z221" i="13"/>
  <c r="Z222" i="13"/>
  <c r="Z223" i="13"/>
  <c r="Z224" i="13"/>
  <c r="Z225" i="13"/>
  <c r="Z226" i="13"/>
  <c r="Z227" i="13"/>
  <c r="Z228" i="13"/>
  <c r="Z229" i="13"/>
  <c r="Z230" i="13"/>
  <c r="Z231" i="13"/>
  <c r="Z232" i="13"/>
  <c r="Z233" i="13"/>
  <c r="Z234" i="13"/>
  <c r="Z235" i="13"/>
  <c r="Z236" i="13"/>
  <c r="Z237" i="13"/>
  <c r="Z238" i="13"/>
  <c r="Z239" i="13"/>
  <c r="Z240" i="13"/>
  <c r="Z241" i="13"/>
  <c r="Z242" i="13"/>
  <c r="Z243" i="13"/>
  <c r="Z244" i="13"/>
  <c r="Z245" i="13"/>
  <c r="Z246" i="13"/>
  <c r="Z247" i="13"/>
  <c r="Z248" i="13"/>
  <c r="Z249" i="13"/>
  <c r="Z250" i="13"/>
  <c r="Z251" i="13"/>
  <c r="Z252" i="13"/>
  <c r="Z253" i="13"/>
  <c r="Z254" i="13"/>
  <c r="Z255" i="13"/>
  <c r="Z256" i="13"/>
  <c r="Z257" i="13"/>
  <c r="Z258" i="13"/>
  <c r="Z259" i="13"/>
  <c r="Z260" i="13"/>
  <c r="Z261" i="13"/>
  <c r="Z262" i="13"/>
  <c r="Z263" i="13"/>
  <c r="Z264" i="13"/>
  <c r="Z265" i="13"/>
  <c r="Z266" i="13"/>
  <c r="Z267" i="13"/>
  <c r="Z268" i="13"/>
  <c r="Z269" i="13"/>
  <c r="Z270" i="13"/>
  <c r="Z271" i="13"/>
  <c r="Z272" i="13"/>
  <c r="Z273" i="13"/>
  <c r="Z274" i="13"/>
  <c r="Z275" i="13"/>
  <c r="Z276" i="13"/>
  <c r="Z277" i="13"/>
  <c r="Z278" i="13"/>
  <c r="Z279" i="13"/>
  <c r="Z280" i="13"/>
  <c r="Z281" i="13"/>
  <c r="Z282" i="13"/>
  <c r="Z283" i="13"/>
  <c r="Z284" i="13"/>
  <c r="Z285" i="13"/>
  <c r="Z286" i="13"/>
  <c r="Z287" i="13"/>
  <c r="Z288" i="13"/>
  <c r="Z289" i="13"/>
  <c r="Z290" i="13"/>
  <c r="Z291" i="13"/>
  <c r="Z292" i="13"/>
  <c r="Z293" i="13"/>
  <c r="Z294" i="13"/>
  <c r="Z295" i="13"/>
  <c r="Z296" i="13"/>
  <c r="Z297" i="13"/>
  <c r="Z298" i="13"/>
  <c r="Z299" i="13"/>
  <c r="Z300" i="13"/>
  <c r="Z301" i="13"/>
  <c r="Z302" i="13"/>
  <c r="Z303" i="13"/>
  <c r="Z304" i="13"/>
  <c r="Z305" i="13"/>
  <c r="Z306" i="13"/>
  <c r="Z307" i="13"/>
  <c r="Z308" i="13"/>
  <c r="Z309" i="13"/>
  <c r="Z310" i="13"/>
  <c r="Z311" i="13"/>
  <c r="Z312" i="13"/>
  <c r="Z313" i="13"/>
  <c r="Z314" i="13"/>
  <c r="Z315" i="13"/>
  <c r="Z316" i="13"/>
  <c r="Z317" i="13"/>
  <c r="Z318" i="13"/>
  <c r="Z319" i="13"/>
  <c r="Z320" i="13"/>
  <c r="Z321" i="13"/>
  <c r="Z322" i="13"/>
  <c r="Z323" i="13"/>
  <c r="Z324" i="13"/>
  <c r="Z325" i="13"/>
  <c r="Z326" i="13"/>
  <c r="Z327" i="13"/>
  <c r="Z328" i="13"/>
  <c r="Z329" i="13"/>
  <c r="Z330" i="13"/>
  <c r="Z331" i="13"/>
  <c r="Z332" i="13"/>
  <c r="Z333" i="13"/>
  <c r="Z334" i="13"/>
  <c r="Z335" i="13"/>
  <c r="Z336" i="13"/>
  <c r="Z337" i="13"/>
  <c r="Z338" i="13"/>
  <c r="Z339" i="13"/>
  <c r="Z340" i="13"/>
  <c r="Z341" i="13"/>
  <c r="Z342" i="13"/>
  <c r="Z343" i="13"/>
  <c r="Z344" i="13"/>
  <c r="Z345" i="13"/>
  <c r="Z346" i="13"/>
  <c r="Z347" i="13"/>
  <c r="Z348" i="13"/>
  <c r="Z349" i="13"/>
  <c r="Z350" i="13"/>
  <c r="Z351" i="13"/>
  <c r="Z352" i="13"/>
  <c r="Z353" i="13"/>
  <c r="Z354" i="13"/>
  <c r="Z355" i="13"/>
  <c r="Z356" i="13"/>
  <c r="Z357" i="13"/>
  <c r="Z358" i="13"/>
  <c r="Z359" i="13"/>
  <c r="Z360" i="13"/>
  <c r="Z361" i="13"/>
  <c r="Z362" i="13"/>
  <c r="Z363" i="13"/>
  <c r="Z364" i="13"/>
  <c r="Z365" i="13"/>
  <c r="Z366" i="13"/>
  <c r="Z367" i="13"/>
  <c r="Z368" i="13"/>
  <c r="Z369" i="13"/>
  <c r="Z370" i="13"/>
  <c r="Z371" i="13"/>
  <c r="Z372" i="13"/>
  <c r="Z373" i="13"/>
  <c r="Z374" i="13"/>
  <c r="Z375" i="13"/>
  <c r="Z376" i="13"/>
  <c r="Z377" i="13"/>
  <c r="Z378" i="13"/>
  <c r="Z379" i="13"/>
  <c r="Z380" i="13"/>
  <c r="Z381" i="13"/>
  <c r="Z382" i="13"/>
  <c r="Z383" i="13"/>
  <c r="Z384" i="13"/>
  <c r="Z385" i="13"/>
  <c r="Z386" i="13"/>
  <c r="Z387" i="13"/>
  <c r="Z388" i="13"/>
  <c r="Z389" i="13"/>
  <c r="Z390" i="13"/>
  <c r="Z391" i="13"/>
  <c r="Z392" i="13"/>
  <c r="Z393" i="13"/>
  <c r="Z394" i="13"/>
  <c r="Z395" i="13"/>
  <c r="Z396" i="13"/>
  <c r="Z397" i="13"/>
  <c r="Z398" i="13"/>
  <c r="Z399" i="13"/>
  <c r="Z400" i="13"/>
  <c r="Z401" i="13"/>
  <c r="Z402" i="13"/>
  <c r="Z403" i="13"/>
  <c r="Z404" i="13"/>
  <c r="Z405" i="13"/>
  <c r="Z406" i="13"/>
  <c r="Z407" i="13"/>
  <c r="Z408" i="13"/>
  <c r="Z409" i="13"/>
  <c r="Z410" i="13"/>
  <c r="Z411" i="13"/>
  <c r="Z412" i="13"/>
  <c r="Z413" i="13"/>
  <c r="Z414" i="13"/>
  <c r="Z415" i="13"/>
  <c r="Z416" i="13"/>
  <c r="Z417" i="13"/>
  <c r="Z418" i="13"/>
  <c r="Z419" i="13"/>
  <c r="Z420" i="13"/>
  <c r="Z421" i="13"/>
  <c r="Z422" i="13"/>
  <c r="Z423" i="13"/>
  <c r="Z424" i="13"/>
  <c r="Z425" i="13"/>
  <c r="Z426" i="13"/>
  <c r="Z427" i="13"/>
  <c r="Z428" i="13"/>
  <c r="Z429" i="13"/>
  <c r="Z430" i="13"/>
  <c r="Z431" i="13"/>
  <c r="Z432" i="13"/>
  <c r="Z433" i="13"/>
  <c r="Z434" i="13"/>
  <c r="Z435" i="13"/>
  <c r="Z436" i="13"/>
  <c r="Z437" i="13"/>
  <c r="Z438" i="13"/>
  <c r="Z439" i="13"/>
  <c r="Z440" i="13"/>
  <c r="Z441" i="13"/>
  <c r="Z442" i="13"/>
  <c r="Z443" i="13"/>
  <c r="Z444" i="13"/>
  <c r="Z445" i="13"/>
  <c r="Z446" i="13"/>
  <c r="Z447" i="13"/>
  <c r="Z448" i="13"/>
  <c r="Z449" i="13"/>
  <c r="Z450" i="13"/>
  <c r="Z451" i="13"/>
  <c r="Z452" i="13"/>
  <c r="Z453" i="13"/>
  <c r="Z454" i="13"/>
  <c r="Z455" i="13"/>
  <c r="Z456" i="13"/>
  <c r="Z457" i="13"/>
  <c r="Z458" i="13"/>
  <c r="Z459" i="13"/>
  <c r="Z460" i="13"/>
  <c r="Z461" i="13"/>
  <c r="Z462" i="13"/>
  <c r="Z463" i="13"/>
  <c r="Z464" i="13"/>
  <c r="Z465" i="13"/>
  <c r="Z466" i="13"/>
  <c r="Z467" i="13"/>
  <c r="Z468" i="13"/>
  <c r="Z469" i="13"/>
  <c r="Z470" i="13"/>
  <c r="Z471" i="13"/>
  <c r="Z472" i="13"/>
  <c r="Z473" i="13"/>
  <c r="Z474" i="13"/>
  <c r="Z475" i="13"/>
  <c r="Z476" i="13"/>
  <c r="Z477" i="13"/>
  <c r="Z478" i="13"/>
  <c r="Z479" i="13"/>
  <c r="Z480" i="13"/>
  <c r="Z481" i="13"/>
  <c r="Z482" i="13"/>
  <c r="Z483" i="13"/>
  <c r="Z484" i="13"/>
  <c r="Z485" i="13"/>
  <c r="Z486" i="13"/>
  <c r="Z487" i="13"/>
  <c r="Z488" i="13"/>
  <c r="Z489" i="13"/>
  <c r="Z490" i="13"/>
  <c r="Z491" i="13"/>
  <c r="Z492" i="13"/>
  <c r="Z493" i="13"/>
  <c r="Z494" i="13"/>
  <c r="Z495" i="13"/>
  <c r="Z496" i="13"/>
  <c r="Z497" i="13"/>
  <c r="Z498" i="13"/>
  <c r="Z499" i="13"/>
  <c r="Z500" i="13"/>
  <c r="Z6" i="13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6" i="12"/>
  <c r="Z7" i="11"/>
  <c r="Z8" i="11"/>
  <c r="Z9" i="11"/>
  <c r="Z10" i="11"/>
  <c r="Z11" i="11"/>
  <c r="Z12" i="11"/>
  <c r="Z13" i="11"/>
  <c r="Z14" i="11"/>
  <c r="Z15" i="11"/>
  <c r="Z16" i="11"/>
  <c r="Z17" i="11"/>
  <c r="Z18" i="11"/>
  <c r="Z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64" i="11"/>
  <c r="Z65" i="11"/>
  <c r="Z66" i="11"/>
  <c r="Z67" i="11"/>
  <c r="Z68" i="11"/>
  <c r="Z69" i="11"/>
  <c r="Z70" i="11"/>
  <c r="Z71" i="11"/>
  <c r="Z72" i="11"/>
  <c r="Z73" i="11"/>
  <c r="Z74" i="11"/>
  <c r="Z75" i="11"/>
  <c r="Z76" i="11"/>
  <c r="Z77" i="11"/>
  <c r="Z78" i="11"/>
  <c r="Z79" i="11"/>
  <c r="Z80" i="11"/>
  <c r="Z81" i="11"/>
  <c r="Z82" i="11"/>
  <c r="Z83" i="11"/>
  <c r="Z84" i="11"/>
  <c r="Z85" i="11"/>
  <c r="Z86" i="11"/>
  <c r="Z87" i="11"/>
  <c r="Z88" i="11"/>
  <c r="Z89" i="11"/>
  <c r="Z90" i="11"/>
  <c r="Z91" i="11"/>
  <c r="Z92" i="11"/>
  <c r="Z93" i="11"/>
  <c r="Z94" i="11"/>
  <c r="Z95" i="11"/>
  <c r="Z96" i="11"/>
  <c r="Z97" i="11"/>
  <c r="Z98" i="11"/>
  <c r="Z99" i="11"/>
  <c r="Z100" i="11"/>
  <c r="Z101" i="11"/>
  <c r="Z102" i="11"/>
  <c r="Z103" i="11"/>
  <c r="Z104" i="11"/>
  <c r="Z105" i="11"/>
  <c r="Z106" i="11"/>
  <c r="Z107" i="11"/>
  <c r="Z108" i="11"/>
  <c r="Z109" i="11"/>
  <c r="Z110" i="11"/>
  <c r="Z111" i="11"/>
  <c r="Z112" i="11"/>
  <c r="Z113" i="11"/>
  <c r="Z114" i="11"/>
  <c r="Z115" i="11"/>
  <c r="Z116" i="11"/>
  <c r="Z117" i="11"/>
  <c r="Z118" i="11"/>
  <c r="Z119" i="11"/>
  <c r="Z120" i="11"/>
  <c r="Z121" i="11"/>
  <c r="Z122" i="11"/>
  <c r="Z123" i="11"/>
  <c r="Z124" i="11"/>
  <c r="Z125" i="11"/>
  <c r="Z126" i="11"/>
  <c r="Z127" i="11"/>
  <c r="Z128" i="11"/>
  <c r="Z129" i="11"/>
  <c r="Z130" i="11"/>
  <c r="Z131" i="11"/>
  <c r="Z132" i="11"/>
  <c r="Z133" i="11"/>
  <c r="Z134" i="11"/>
  <c r="Z135" i="11"/>
  <c r="Z136" i="11"/>
  <c r="Z137" i="11"/>
  <c r="Z138" i="11"/>
  <c r="Z139" i="11"/>
  <c r="Z140" i="11"/>
  <c r="Z141" i="11"/>
  <c r="Z142" i="11"/>
  <c r="Z143" i="11"/>
  <c r="Z144" i="11"/>
  <c r="Z145" i="11"/>
  <c r="Z146" i="11"/>
  <c r="Z147" i="11"/>
  <c r="Z148" i="11"/>
  <c r="Z149" i="11"/>
  <c r="Z150" i="11"/>
  <c r="Z151" i="11"/>
  <c r="Z152" i="11"/>
  <c r="Z153" i="11"/>
  <c r="Z154" i="11"/>
  <c r="Z155" i="11"/>
  <c r="Z156" i="11"/>
  <c r="Z157" i="11"/>
  <c r="Z158" i="11"/>
  <c r="Z159" i="11"/>
  <c r="Z160" i="11"/>
  <c r="Z161" i="11"/>
  <c r="Z162" i="11"/>
  <c r="Z163" i="11"/>
  <c r="Z164" i="11"/>
  <c r="Z165" i="11"/>
  <c r="Z166" i="11"/>
  <c r="Z167" i="11"/>
  <c r="Z168" i="11"/>
  <c r="Z169" i="11"/>
  <c r="Z170" i="11"/>
  <c r="Z171" i="11"/>
  <c r="Z172" i="11"/>
  <c r="Z173" i="11"/>
  <c r="Z174" i="11"/>
  <c r="Z175" i="11"/>
  <c r="Z176" i="11"/>
  <c r="Z177" i="11"/>
  <c r="Z178" i="11"/>
  <c r="Z179" i="11"/>
  <c r="Z180" i="11"/>
  <c r="Z181" i="11"/>
  <c r="Z182" i="11"/>
  <c r="Z183" i="11"/>
  <c r="Z184" i="11"/>
  <c r="Z185" i="11"/>
  <c r="Z186" i="11"/>
  <c r="Z187" i="11"/>
  <c r="Z188" i="11"/>
  <c r="Z189" i="11"/>
  <c r="Z190" i="11"/>
  <c r="Z191" i="11"/>
  <c r="Z192" i="11"/>
  <c r="Z193" i="11"/>
  <c r="Z194" i="11"/>
  <c r="Z195" i="11"/>
  <c r="Z196" i="11"/>
  <c r="Z197" i="11"/>
  <c r="Z198" i="11"/>
  <c r="Z199" i="11"/>
  <c r="Z200" i="11"/>
  <c r="Z201" i="11"/>
  <c r="Z202" i="11"/>
  <c r="Z203" i="11"/>
  <c r="Z204" i="11"/>
  <c r="Z205" i="11"/>
  <c r="Z206" i="11"/>
  <c r="Z207" i="11"/>
  <c r="Z208" i="11"/>
  <c r="Z209" i="11"/>
  <c r="Z210" i="11"/>
  <c r="Z211" i="11"/>
  <c r="Z212" i="11"/>
  <c r="Z213" i="11"/>
  <c r="Z214" i="11"/>
  <c r="Z215" i="11"/>
  <c r="Z216" i="11"/>
  <c r="Z217" i="11"/>
  <c r="Z218" i="11"/>
  <c r="Z219" i="11"/>
  <c r="Z220" i="11"/>
  <c r="Z221" i="11"/>
  <c r="Z222" i="11"/>
  <c r="Z223" i="11"/>
  <c r="Z224" i="11"/>
  <c r="Z225" i="11"/>
  <c r="Z226" i="11"/>
  <c r="Z227" i="11"/>
  <c r="Z228" i="11"/>
  <c r="Z229" i="11"/>
  <c r="Z230" i="11"/>
  <c r="Z231" i="11"/>
  <c r="Z232" i="11"/>
  <c r="Z233" i="11"/>
  <c r="Z234" i="11"/>
  <c r="Z235" i="11"/>
  <c r="Z236" i="11"/>
  <c r="Z237" i="11"/>
  <c r="Z238" i="11"/>
  <c r="Z239" i="11"/>
  <c r="Z240" i="11"/>
  <c r="Z241" i="11"/>
  <c r="Z242" i="11"/>
  <c r="Z243" i="11"/>
  <c r="Z244" i="11"/>
  <c r="Z245" i="11"/>
  <c r="Z246" i="11"/>
  <c r="Z247" i="11"/>
  <c r="Z248" i="11"/>
  <c r="Z249" i="11"/>
  <c r="Z250" i="11"/>
  <c r="Z251" i="11"/>
  <c r="Z252" i="11"/>
  <c r="Z253" i="11"/>
  <c r="Z254" i="11"/>
  <c r="Z255" i="11"/>
  <c r="Z256" i="11"/>
  <c r="Z257" i="11"/>
  <c r="Z258" i="11"/>
  <c r="Z259" i="11"/>
  <c r="Z260" i="11"/>
  <c r="Z261" i="11"/>
  <c r="Z262" i="11"/>
  <c r="Z263" i="11"/>
  <c r="Z264" i="11"/>
  <c r="Z265" i="11"/>
  <c r="Z266" i="11"/>
  <c r="Z267" i="11"/>
  <c r="Z268" i="11"/>
  <c r="Z269" i="11"/>
  <c r="Z270" i="11"/>
  <c r="Z271" i="11"/>
  <c r="Z272" i="11"/>
  <c r="Z273" i="11"/>
  <c r="Z274" i="11"/>
  <c r="Z275" i="11"/>
  <c r="Z276" i="11"/>
  <c r="Z277" i="11"/>
  <c r="Z278" i="11"/>
  <c r="Z279" i="11"/>
  <c r="Z280" i="11"/>
  <c r="Z281" i="11"/>
  <c r="Z282" i="11"/>
  <c r="Z283" i="11"/>
  <c r="Z284" i="11"/>
  <c r="Z285" i="11"/>
  <c r="Z286" i="11"/>
  <c r="Z287" i="11"/>
  <c r="Z288" i="11"/>
  <c r="Z289" i="11"/>
  <c r="Z290" i="11"/>
  <c r="Z291" i="11"/>
  <c r="Z292" i="11"/>
  <c r="Z293" i="11"/>
  <c r="Z294" i="11"/>
  <c r="Z295" i="11"/>
  <c r="Z296" i="11"/>
  <c r="Z297" i="11"/>
  <c r="Z298" i="11"/>
  <c r="Z299" i="11"/>
  <c r="Z300" i="11"/>
  <c r="Z301" i="11"/>
  <c r="Z302" i="11"/>
  <c r="Z303" i="11"/>
  <c r="Z304" i="11"/>
  <c r="Z305" i="11"/>
  <c r="Z306" i="11"/>
  <c r="Z307" i="11"/>
  <c r="Z308" i="11"/>
  <c r="Z309" i="11"/>
  <c r="Z310" i="11"/>
  <c r="Z311" i="11"/>
  <c r="Z312" i="11"/>
  <c r="Z313" i="11"/>
  <c r="Z314" i="11"/>
  <c r="Z315" i="11"/>
  <c r="Z316" i="11"/>
  <c r="Z317" i="11"/>
  <c r="Z318" i="11"/>
  <c r="Z319" i="11"/>
  <c r="Z320" i="11"/>
  <c r="Z321" i="11"/>
  <c r="Z322" i="11"/>
  <c r="Z323" i="11"/>
  <c r="Z324" i="11"/>
  <c r="Z325" i="11"/>
  <c r="Z326" i="11"/>
  <c r="Z327" i="11"/>
  <c r="Z328" i="11"/>
  <c r="Z329" i="11"/>
  <c r="Z330" i="11"/>
  <c r="Z331" i="11"/>
  <c r="Z332" i="11"/>
  <c r="Z333" i="11"/>
  <c r="Z334" i="11"/>
  <c r="Z335" i="11"/>
  <c r="Z336" i="11"/>
  <c r="Z337" i="11"/>
  <c r="Z338" i="11"/>
  <c r="Z339" i="11"/>
  <c r="Z340" i="11"/>
  <c r="Z341" i="11"/>
  <c r="Z342" i="11"/>
  <c r="Z343" i="11"/>
  <c r="Z344" i="11"/>
  <c r="Z345" i="11"/>
  <c r="Z346" i="11"/>
  <c r="Z347" i="11"/>
  <c r="Z348" i="11"/>
  <c r="Z349" i="11"/>
  <c r="Z350" i="11"/>
  <c r="Z351" i="11"/>
  <c r="Z352" i="11"/>
  <c r="Z353" i="11"/>
  <c r="Z354" i="11"/>
  <c r="Z355" i="11"/>
  <c r="Z356" i="11"/>
  <c r="Z357" i="11"/>
  <c r="Z358" i="11"/>
  <c r="Z359" i="11"/>
  <c r="Z360" i="11"/>
  <c r="Z361" i="11"/>
  <c r="Z362" i="11"/>
  <c r="Z363" i="11"/>
  <c r="Z364" i="11"/>
  <c r="Z365" i="11"/>
  <c r="Z366" i="11"/>
  <c r="Z367" i="11"/>
  <c r="Z368" i="11"/>
  <c r="Z369" i="11"/>
  <c r="Z370" i="11"/>
  <c r="Z371" i="11"/>
  <c r="Z372" i="11"/>
  <c r="Z373" i="11"/>
  <c r="Z374" i="11"/>
  <c r="Z375" i="11"/>
  <c r="Z376" i="11"/>
  <c r="Z377" i="11"/>
  <c r="Z378" i="11"/>
  <c r="Z379" i="11"/>
  <c r="Z380" i="11"/>
  <c r="Z381" i="11"/>
  <c r="Z382" i="11"/>
  <c r="Z383" i="11"/>
  <c r="Z384" i="11"/>
  <c r="Z385" i="11"/>
  <c r="Z386" i="11"/>
  <c r="Z387" i="11"/>
  <c r="Z388" i="11"/>
  <c r="Z389" i="11"/>
  <c r="Z390" i="11"/>
  <c r="Z391" i="11"/>
  <c r="Z392" i="11"/>
  <c r="Z393" i="11"/>
  <c r="Z394" i="11"/>
  <c r="Z395" i="11"/>
  <c r="Z396" i="11"/>
  <c r="Z397" i="11"/>
  <c r="Z398" i="11"/>
  <c r="Z399" i="11"/>
  <c r="Z400" i="11"/>
  <c r="Z401" i="11"/>
  <c r="Z402" i="11"/>
  <c r="Z403" i="11"/>
  <c r="Z404" i="11"/>
  <c r="Z405" i="11"/>
  <c r="Z406" i="11"/>
  <c r="Z407" i="11"/>
  <c r="Z408" i="11"/>
  <c r="Z409" i="11"/>
  <c r="Z410" i="11"/>
  <c r="Z411" i="11"/>
  <c r="Z412" i="11"/>
  <c r="Z413" i="11"/>
  <c r="Z414" i="11"/>
  <c r="Z415" i="11"/>
  <c r="Z416" i="11"/>
  <c r="Z417" i="11"/>
  <c r="Z418" i="11"/>
  <c r="Z419" i="11"/>
  <c r="Z420" i="11"/>
  <c r="Z421" i="11"/>
  <c r="Z422" i="11"/>
  <c r="Z423" i="11"/>
  <c r="Z424" i="11"/>
  <c r="Z425" i="11"/>
  <c r="Z426" i="11"/>
  <c r="Z427" i="11"/>
  <c r="Z428" i="11"/>
  <c r="Z429" i="11"/>
  <c r="Z430" i="11"/>
  <c r="Z431" i="11"/>
  <c r="Z432" i="11"/>
  <c r="Z433" i="11"/>
  <c r="Z434" i="11"/>
  <c r="Z435" i="11"/>
  <c r="Z436" i="11"/>
  <c r="Z437" i="11"/>
  <c r="Z438" i="11"/>
  <c r="Z439" i="11"/>
  <c r="Z440" i="11"/>
  <c r="Z441" i="11"/>
  <c r="Z442" i="11"/>
  <c r="Z443" i="11"/>
  <c r="Z444" i="11"/>
  <c r="Z445" i="11"/>
  <c r="Z446" i="11"/>
  <c r="Z447" i="11"/>
  <c r="Z448" i="11"/>
  <c r="Z449" i="11"/>
  <c r="Z450" i="11"/>
  <c r="Z451" i="11"/>
  <c r="Z452" i="11"/>
  <c r="Z453" i="11"/>
  <c r="Z454" i="11"/>
  <c r="Z455" i="11"/>
  <c r="Z456" i="11"/>
  <c r="Z457" i="11"/>
  <c r="Z458" i="11"/>
  <c r="Z459" i="11"/>
  <c r="Z460" i="11"/>
  <c r="Z461" i="11"/>
  <c r="Z462" i="11"/>
  <c r="Z463" i="11"/>
  <c r="Z464" i="11"/>
  <c r="Z465" i="11"/>
  <c r="Z466" i="11"/>
  <c r="Z467" i="11"/>
  <c r="Z468" i="11"/>
  <c r="Z469" i="11"/>
  <c r="Z470" i="11"/>
  <c r="Z471" i="11"/>
  <c r="Z472" i="11"/>
  <c r="Z473" i="11"/>
  <c r="Z474" i="11"/>
  <c r="Z475" i="11"/>
  <c r="Z476" i="11"/>
  <c r="Z477" i="11"/>
  <c r="Z478" i="11"/>
  <c r="Z479" i="11"/>
  <c r="Z480" i="11"/>
  <c r="Z481" i="11"/>
  <c r="Z482" i="11"/>
  <c r="Z483" i="11"/>
  <c r="Z484" i="11"/>
  <c r="Z485" i="11"/>
  <c r="Z486" i="11"/>
  <c r="Z487" i="11"/>
  <c r="Z488" i="11"/>
  <c r="Z489" i="11"/>
  <c r="Z490" i="11"/>
  <c r="Z491" i="11"/>
  <c r="Z492" i="11"/>
  <c r="Z493" i="11"/>
  <c r="Z494" i="11"/>
  <c r="Z495" i="11"/>
  <c r="Z496" i="11"/>
  <c r="Z497" i="11"/>
  <c r="Z498" i="11"/>
  <c r="Z499" i="11"/>
  <c r="Z500" i="11"/>
  <c r="Z6" i="11"/>
  <c r="Z7" i="10"/>
  <c r="Z8" i="10"/>
  <c r="Z9" i="10"/>
  <c r="Z10" i="10"/>
  <c r="Z11" i="10"/>
  <c r="Z12" i="10"/>
  <c r="Z13" i="10"/>
  <c r="Z14" i="10"/>
  <c r="Z15" i="10"/>
  <c r="Z16" i="10"/>
  <c r="Z17" i="10"/>
  <c r="Z18" i="10"/>
  <c r="Z19" i="10"/>
  <c r="Z20" i="10"/>
  <c r="Z21" i="10"/>
  <c r="Z22" i="10"/>
  <c r="Z23" i="10"/>
  <c r="Z24" i="10"/>
  <c r="Z25" i="10"/>
  <c r="Z26" i="10"/>
  <c r="Z27" i="10"/>
  <c r="Z28" i="10"/>
  <c r="Z29" i="10"/>
  <c r="Z30" i="10"/>
  <c r="Z31" i="10"/>
  <c r="Z32" i="10"/>
  <c r="Z33" i="10"/>
  <c r="Z34" i="10"/>
  <c r="Z35" i="10"/>
  <c r="Z36" i="10"/>
  <c r="Z37" i="10"/>
  <c r="Z38" i="10"/>
  <c r="Z39" i="10"/>
  <c r="Z40" i="10"/>
  <c r="Z41" i="10"/>
  <c r="Z42" i="10"/>
  <c r="Z43" i="10"/>
  <c r="Z44" i="10"/>
  <c r="Z45" i="10"/>
  <c r="Z46" i="10"/>
  <c r="Z47" i="10"/>
  <c r="Z48" i="10"/>
  <c r="Z49" i="10"/>
  <c r="Z50" i="10"/>
  <c r="Z51" i="10"/>
  <c r="Z52" i="10"/>
  <c r="Z53" i="10"/>
  <c r="Z54" i="10"/>
  <c r="Z55" i="10"/>
  <c r="Z56" i="10"/>
  <c r="Z57" i="10"/>
  <c r="Z58" i="10"/>
  <c r="Z59" i="10"/>
  <c r="Z60" i="10"/>
  <c r="Z61" i="10"/>
  <c r="Z62" i="10"/>
  <c r="Z63" i="10"/>
  <c r="Z64" i="10"/>
  <c r="Z65" i="10"/>
  <c r="Z66" i="10"/>
  <c r="Z67" i="10"/>
  <c r="Z68" i="10"/>
  <c r="Z69" i="10"/>
  <c r="Z70" i="10"/>
  <c r="Z71" i="10"/>
  <c r="Z72" i="10"/>
  <c r="Z73" i="10"/>
  <c r="Z74" i="10"/>
  <c r="Z75" i="10"/>
  <c r="Z76" i="10"/>
  <c r="Z77" i="10"/>
  <c r="Z78" i="10"/>
  <c r="Z79" i="10"/>
  <c r="Z80" i="10"/>
  <c r="Z81" i="10"/>
  <c r="Z82" i="10"/>
  <c r="Z83" i="10"/>
  <c r="Z84" i="10"/>
  <c r="Z85" i="10"/>
  <c r="Z86" i="10"/>
  <c r="Z87" i="10"/>
  <c r="Z88" i="10"/>
  <c r="Z89" i="10"/>
  <c r="Z90" i="10"/>
  <c r="Z91" i="10"/>
  <c r="Z92" i="10"/>
  <c r="Z93" i="10"/>
  <c r="Z94" i="10"/>
  <c r="Z95" i="10"/>
  <c r="Z96" i="10"/>
  <c r="Z97" i="10"/>
  <c r="Z98" i="10"/>
  <c r="Z99" i="10"/>
  <c r="Z100" i="10"/>
  <c r="Z101" i="10"/>
  <c r="Z102" i="10"/>
  <c r="Z103" i="10"/>
  <c r="Z104" i="10"/>
  <c r="Z105" i="10"/>
  <c r="Z106" i="10"/>
  <c r="Z107" i="10"/>
  <c r="Z108" i="10"/>
  <c r="Z109" i="10"/>
  <c r="Z110" i="10"/>
  <c r="Z111" i="10"/>
  <c r="Z112" i="10"/>
  <c r="Z113" i="10"/>
  <c r="Z114" i="10"/>
  <c r="Z115" i="10"/>
  <c r="Z116" i="10"/>
  <c r="Z117" i="10"/>
  <c r="Z118" i="10"/>
  <c r="Z119" i="10"/>
  <c r="Z120" i="10"/>
  <c r="Z121" i="10"/>
  <c r="Z122" i="10"/>
  <c r="Z123" i="10"/>
  <c r="Z124" i="10"/>
  <c r="Z125" i="10"/>
  <c r="Z126" i="10"/>
  <c r="Z127" i="10"/>
  <c r="Z128" i="10"/>
  <c r="Z129" i="10"/>
  <c r="Z130" i="10"/>
  <c r="Z131" i="10"/>
  <c r="Z132" i="10"/>
  <c r="Z133" i="10"/>
  <c r="Z134" i="10"/>
  <c r="Z135" i="10"/>
  <c r="Z136" i="10"/>
  <c r="Z137" i="10"/>
  <c r="Z138" i="10"/>
  <c r="Z139" i="10"/>
  <c r="Z140" i="10"/>
  <c r="Z141" i="10"/>
  <c r="Z142" i="10"/>
  <c r="Z143" i="10"/>
  <c r="Z144" i="10"/>
  <c r="Z145" i="10"/>
  <c r="Z146" i="10"/>
  <c r="Z147" i="10"/>
  <c r="Z148" i="10"/>
  <c r="Z149" i="10"/>
  <c r="Z150" i="10"/>
  <c r="Z151" i="10"/>
  <c r="Z152" i="10"/>
  <c r="Z153" i="10"/>
  <c r="Z154" i="10"/>
  <c r="Z155" i="10"/>
  <c r="Z156" i="10"/>
  <c r="Z157" i="10"/>
  <c r="Z158" i="10"/>
  <c r="Z159" i="10"/>
  <c r="Z160" i="10"/>
  <c r="Z161" i="10"/>
  <c r="Z162" i="10"/>
  <c r="Z163" i="10"/>
  <c r="Z164" i="10"/>
  <c r="Z165" i="10"/>
  <c r="Z166" i="10"/>
  <c r="Z167" i="10"/>
  <c r="Z168" i="10"/>
  <c r="Z169" i="10"/>
  <c r="Z170" i="10"/>
  <c r="Z171" i="10"/>
  <c r="Z172" i="10"/>
  <c r="Z173" i="10"/>
  <c r="Z174" i="10"/>
  <c r="Z175" i="10"/>
  <c r="Z176" i="10"/>
  <c r="Z177" i="10"/>
  <c r="Z178" i="10"/>
  <c r="Z179" i="10"/>
  <c r="Z180" i="10"/>
  <c r="Z181" i="10"/>
  <c r="Z182" i="10"/>
  <c r="Z183" i="10"/>
  <c r="Z184" i="10"/>
  <c r="Z185" i="10"/>
  <c r="Z186" i="10"/>
  <c r="Z187" i="10"/>
  <c r="Z188" i="10"/>
  <c r="Z189" i="10"/>
  <c r="Z190" i="10"/>
  <c r="Z191" i="10"/>
  <c r="Z192" i="10"/>
  <c r="Z193" i="10"/>
  <c r="Z194" i="10"/>
  <c r="Z195" i="10"/>
  <c r="Z196" i="10"/>
  <c r="Z197" i="10"/>
  <c r="Z198" i="10"/>
  <c r="Z199" i="10"/>
  <c r="Z200" i="10"/>
  <c r="Z201" i="10"/>
  <c r="Z202" i="10"/>
  <c r="Z203" i="10"/>
  <c r="Z204" i="10"/>
  <c r="Z205" i="10"/>
  <c r="Z206" i="10"/>
  <c r="Z207" i="10"/>
  <c r="Z208" i="10"/>
  <c r="Z209" i="10"/>
  <c r="Z210" i="10"/>
  <c r="Z211" i="10"/>
  <c r="Z212" i="10"/>
  <c r="Z213" i="10"/>
  <c r="Z214" i="10"/>
  <c r="Z215" i="10"/>
  <c r="Z216" i="10"/>
  <c r="Z217" i="10"/>
  <c r="Z218" i="10"/>
  <c r="Z219" i="10"/>
  <c r="Z220" i="10"/>
  <c r="Z221" i="10"/>
  <c r="Z222" i="10"/>
  <c r="Z223" i="10"/>
  <c r="Z224" i="10"/>
  <c r="Z225" i="10"/>
  <c r="Z226" i="10"/>
  <c r="Z227" i="10"/>
  <c r="Z228" i="10"/>
  <c r="Z229" i="10"/>
  <c r="Z230" i="10"/>
  <c r="Z231" i="10"/>
  <c r="Z232" i="10"/>
  <c r="Z233" i="10"/>
  <c r="Z234" i="10"/>
  <c r="Z235" i="10"/>
  <c r="Z236" i="10"/>
  <c r="Z237" i="10"/>
  <c r="Z238" i="10"/>
  <c r="Z239" i="10"/>
  <c r="Z240" i="10"/>
  <c r="Z241" i="10"/>
  <c r="Z242" i="10"/>
  <c r="Z243" i="10"/>
  <c r="Z244" i="10"/>
  <c r="Z245" i="10"/>
  <c r="Z246" i="10"/>
  <c r="Z247" i="10"/>
  <c r="Z248" i="10"/>
  <c r="Z249" i="10"/>
  <c r="Z250" i="10"/>
  <c r="Z251" i="10"/>
  <c r="Z252" i="10"/>
  <c r="Z253" i="10"/>
  <c r="Z254" i="10"/>
  <c r="Z255" i="10"/>
  <c r="Z256" i="10"/>
  <c r="Z257" i="10"/>
  <c r="Z258" i="10"/>
  <c r="Z259" i="10"/>
  <c r="Z260" i="10"/>
  <c r="Z261" i="10"/>
  <c r="Z262" i="10"/>
  <c r="Z263" i="10"/>
  <c r="Z264" i="10"/>
  <c r="Z265" i="10"/>
  <c r="Z266" i="10"/>
  <c r="Z267" i="10"/>
  <c r="Z268" i="10"/>
  <c r="Z269" i="10"/>
  <c r="Z270" i="10"/>
  <c r="Z271" i="10"/>
  <c r="Z272" i="10"/>
  <c r="Z273" i="10"/>
  <c r="Z274" i="10"/>
  <c r="Z275" i="10"/>
  <c r="Z276" i="10"/>
  <c r="Z277" i="10"/>
  <c r="Z278" i="10"/>
  <c r="Z279" i="10"/>
  <c r="Z280" i="10"/>
  <c r="Z281" i="10"/>
  <c r="Z282" i="10"/>
  <c r="Z283" i="10"/>
  <c r="Z284" i="10"/>
  <c r="Z285" i="10"/>
  <c r="Z286" i="10"/>
  <c r="Z287" i="10"/>
  <c r="Z288" i="10"/>
  <c r="Z289" i="10"/>
  <c r="Z290" i="10"/>
  <c r="Z291" i="10"/>
  <c r="Z292" i="10"/>
  <c r="Z293" i="10"/>
  <c r="Z294" i="10"/>
  <c r="Z295" i="10"/>
  <c r="Z296" i="10"/>
  <c r="Z297" i="10"/>
  <c r="Z298" i="10"/>
  <c r="Z299" i="10"/>
  <c r="Z300" i="10"/>
  <c r="Z301" i="10"/>
  <c r="Z302" i="10"/>
  <c r="Z303" i="10"/>
  <c r="Z304" i="10"/>
  <c r="Z305" i="10"/>
  <c r="Z306" i="10"/>
  <c r="Z307" i="10"/>
  <c r="Z308" i="10"/>
  <c r="Z309" i="10"/>
  <c r="Z310" i="10"/>
  <c r="Z311" i="10"/>
  <c r="Z312" i="10"/>
  <c r="Z313" i="10"/>
  <c r="Z314" i="10"/>
  <c r="Z315" i="10"/>
  <c r="Z316" i="10"/>
  <c r="Z317" i="10"/>
  <c r="Z318" i="10"/>
  <c r="Z319" i="10"/>
  <c r="Z320" i="10"/>
  <c r="Z321" i="10"/>
  <c r="Z322" i="10"/>
  <c r="Z323" i="10"/>
  <c r="Z324" i="10"/>
  <c r="Z325" i="10"/>
  <c r="Z326" i="10"/>
  <c r="Z327" i="10"/>
  <c r="Z328" i="10"/>
  <c r="Z329" i="10"/>
  <c r="Z330" i="10"/>
  <c r="Z331" i="10"/>
  <c r="Z332" i="10"/>
  <c r="Z333" i="10"/>
  <c r="Z334" i="10"/>
  <c r="Z335" i="10"/>
  <c r="Z336" i="10"/>
  <c r="Z337" i="10"/>
  <c r="Z338" i="10"/>
  <c r="Z339" i="10"/>
  <c r="Z340" i="10"/>
  <c r="Z341" i="10"/>
  <c r="Z342" i="10"/>
  <c r="Z343" i="10"/>
  <c r="Z344" i="10"/>
  <c r="Z345" i="10"/>
  <c r="Z346" i="10"/>
  <c r="Z347" i="10"/>
  <c r="Z348" i="10"/>
  <c r="Z349" i="10"/>
  <c r="Z350" i="10"/>
  <c r="Z351" i="10"/>
  <c r="Z352" i="10"/>
  <c r="Z353" i="10"/>
  <c r="Z354" i="10"/>
  <c r="Z355" i="10"/>
  <c r="Z356" i="10"/>
  <c r="Z357" i="10"/>
  <c r="Z358" i="10"/>
  <c r="Z359" i="10"/>
  <c r="Z360" i="10"/>
  <c r="Z361" i="10"/>
  <c r="Z362" i="10"/>
  <c r="Z363" i="10"/>
  <c r="Z364" i="10"/>
  <c r="Z365" i="10"/>
  <c r="Z366" i="10"/>
  <c r="Z367" i="10"/>
  <c r="Z368" i="10"/>
  <c r="Z369" i="10"/>
  <c r="Z370" i="10"/>
  <c r="Z371" i="10"/>
  <c r="Z372" i="10"/>
  <c r="Z373" i="10"/>
  <c r="Z374" i="10"/>
  <c r="Z375" i="10"/>
  <c r="Z376" i="10"/>
  <c r="Z377" i="10"/>
  <c r="Z378" i="10"/>
  <c r="Z379" i="10"/>
  <c r="Z380" i="10"/>
  <c r="Z381" i="10"/>
  <c r="Z382" i="10"/>
  <c r="Z383" i="10"/>
  <c r="Z384" i="10"/>
  <c r="Z385" i="10"/>
  <c r="Z386" i="10"/>
  <c r="Z387" i="10"/>
  <c r="Z388" i="10"/>
  <c r="Z389" i="10"/>
  <c r="Z390" i="10"/>
  <c r="Z391" i="10"/>
  <c r="Z392" i="10"/>
  <c r="Z393" i="10"/>
  <c r="Z394" i="10"/>
  <c r="Z395" i="10"/>
  <c r="Z396" i="10"/>
  <c r="Z397" i="10"/>
  <c r="Z398" i="10"/>
  <c r="Z399" i="10"/>
  <c r="Z400" i="10"/>
  <c r="Z401" i="10"/>
  <c r="Z402" i="10"/>
  <c r="Z403" i="10"/>
  <c r="Z404" i="10"/>
  <c r="Z405" i="10"/>
  <c r="Z406" i="10"/>
  <c r="Z407" i="10"/>
  <c r="Z408" i="10"/>
  <c r="Z409" i="10"/>
  <c r="Z410" i="10"/>
  <c r="Z411" i="10"/>
  <c r="Z412" i="10"/>
  <c r="Z413" i="10"/>
  <c r="Z414" i="10"/>
  <c r="Z415" i="10"/>
  <c r="Z416" i="10"/>
  <c r="Z417" i="10"/>
  <c r="Z418" i="10"/>
  <c r="Z419" i="10"/>
  <c r="Z420" i="10"/>
  <c r="Z421" i="10"/>
  <c r="Z422" i="10"/>
  <c r="Z423" i="10"/>
  <c r="Z424" i="10"/>
  <c r="Z425" i="10"/>
  <c r="Z426" i="10"/>
  <c r="Z427" i="10"/>
  <c r="Z428" i="10"/>
  <c r="Z429" i="10"/>
  <c r="Z430" i="10"/>
  <c r="Z431" i="10"/>
  <c r="Z432" i="10"/>
  <c r="Z433" i="10"/>
  <c r="Z434" i="10"/>
  <c r="Z435" i="10"/>
  <c r="Z436" i="10"/>
  <c r="Z437" i="10"/>
  <c r="Z438" i="10"/>
  <c r="Z439" i="10"/>
  <c r="Z440" i="10"/>
  <c r="Z441" i="10"/>
  <c r="Z442" i="10"/>
  <c r="Z443" i="10"/>
  <c r="Z444" i="10"/>
  <c r="Z445" i="10"/>
  <c r="Z446" i="10"/>
  <c r="Z447" i="10"/>
  <c r="Z448" i="10"/>
  <c r="Z449" i="10"/>
  <c r="Z450" i="10"/>
  <c r="Z451" i="10"/>
  <c r="Z452" i="10"/>
  <c r="Z453" i="10"/>
  <c r="Z454" i="10"/>
  <c r="Z455" i="10"/>
  <c r="Z456" i="10"/>
  <c r="Z457" i="10"/>
  <c r="Z458" i="10"/>
  <c r="Z459" i="10"/>
  <c r="Z460" i="10"/>
  <c r="Z461" i="10"/>
  <c r="Z462" i="10"/>
  <c r="Z463" i="10"/>
  <c r="Z464" i="10"/>
  <c r="Z465" i="10"/>
  <c r="Z466" i="10"/>
  <c r="Z467" i="10"/>
  <c r="Z468" i="10"/>
  <c r="Z469" i="10"/>
  <c r="Z470" i="10"/>
  <c r="Z471" i="10"/>
  <c r="Z472" i="10"/>
  <c r="Z473" i="10"/>
  <c r="Z474" i="10"/>
  <c r="Z475" i="10"/>
  <c r="Z476" i="10"/>
  <c r="Z477" i="10"/>
  <c r="Z478" i="10"/>
  <c r="Z479" i="10"/>
  <c r="Z480" i="10"/>
  <c r="Z481" i="10"/>
  <c r="Z482" i="10"/>
  <c r="Z483" i="10"/>
  <c r="Z484" i="10"/>
  <c r="Z485" i="10"/>
  <c r="Z486" i="10"/>
  <c r="Z487" i="10"/>
  <c r="Z488" i="10"/>
  <c r="Z489" i="10"/>
  <c r="Z490" i="10"/>
  <c r="Z491" i="10"/>
  <c r="Z492" i="10"/>
  <c r="Z493" i="10"/>
  <c r="Z494" i="10"/>
  <c r="Z495" i="10"/>
  <c r="Z496" i="10"/>
  <c r="Z497" i="10"/>
  <c r="Z498" i="10"/>
  <c r="Z499" i="10"/>
  <c r="Z500" i="10"/>
  <c r="Z6" i="10"/>
  <c r="Z7" i="9"/>
  <c r="Z8" i="9"/>
  <c r="Z9" i="9"/>
  <c r="Z10" i="9"/>
  <c r="Z11" i="9"/>
  <c r="Z12" i="9"/>
  <c r="Z13" i="9"/>
  <c r="Z14" i="9"/>
  <c r="Z15" i="9"/>
  <c r="Z16" i="9"/>
  <c r="Z17" i="9"/>
  <c r="Z18" i="9"/>
  <c r="Z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64" i="9"/>
  <c r="Z65" i="9"/>
  <c r="Z66" i="9"/>
  <c r="Z67" i="9"/>
  <c r="Z68" i="9"/>
  <c r="Z69" i="9"/>
  <c r="Z70" i="9"/>
  <c r="Z71" i="9"/>
  <c r="Z72" i="9"/>
  <c r="Z73" i="9"/>
  <c r="Z74" i="9"/>
  <c r="Z75" i="9"/>
  <c r="Z76" i="9"/>
  <c r="Z77" i="9"/>
  <c r="Z78" i="9"/>
  <c r="Z79" i="9"/>
  <c r="Z80" i="9"/>
  <c r="Z81" i="9"/>
  <c r="Z82" i="9"/>
  <c r="Z83" i="9"/>
  <c r="Z84" i="9"/>
  <c r="Z85" i="9"/>
  <c r="Z86" i="9"/>
  <c r="Z87" i="9"/>
  <c r="Z88" i="9"/>
  <c r="Z89" i="9"/>
  <c r="Z90" i="9"/>
  <c r="Z91" i="9"/>
  <c r="Z92" i="9"/>
  <c r="Z93" i="9"/>
  <c r="Z94" i="9"/>
  <c r="Z95" i="9"/>
  <c r="Z96" i="9"/>
  <c r="Z97" i="9"/>
  <c r="Z98" i="9"/>
  <c r="Z99" i="9"/>
  <c r="Z100" i="9"/>
  <c r="Z101" i="9"/>
  <c r="Z102" i="9"/>
  <c r="Z103" i="9"/>
  <c r="Z104" i="9"/>
  <c r="Z105" i="9"/>
  <c r="Z106" i="9"/>
  <c r="Z107" i="9"/>
  <c r="Z108" i="9"/>
  <c r="Z109" i="9"/>
  <c r="Z110" i="9"/>
  <c r="Z111" i="9"/>
  <c r="Z112" i="9"/>
  <c r="Z113" i="9"/>
  <c r="Z114" i="9"/>
  <c r="Z115" i="9"/>
  <c r="Z116" i="9"/>
  <c r="Z117" i="9"/>
  <c r="Z118" i="9"/>
  <c r="Z119" i="9"/>
  <c r="Z120" i="9"/>
  <c r="Z121" i="9"/>
  <c r="Z122" i="9"/>
  <c r="Z123" i="9"/>
  <c r="Z124" i="9"/>
  <c r="Z125" i="9"/>
  <c r="Z126" i="9"/>
  <c r="Z127" i="9"/>
  <c r="Z128" i="9"/>
  <c r="Z129" i="9"/>
  <c r="Z130" i="9"/>
  <c r="Z131" i="9"/>
  <c r="Z132" i="9"/>
  <c r="Z133" i="9"/>
  <c r="Z134" i="9"/>
  <c r="Z135" i="9"/>
  <c r="Z136" i="9"/>
  <c r="Z137" i="9"/>
  <c r="Z138" i="9"/>
  <c r="Z139" i="9"/>
  <c r="Z140" i="9"/>
  <c r="Z141" i="9"/>
  <c r="Z142" i="9"/>
  <c r="Z143" i="9"/>
  <c r="Z144" i="9"/>
  <c r="Z145" i="9"/>
  <c r="Z146" i="9"/>
  <c r="Z147" i="9"/>
  <c r="Z148" i="9"/>
  <c r="Z149" i="9"/>
  <c r="Z150" i="9"/>
  <c r="Z151" i="9"/>
  <c r="Z152" i="9"/>
  <c r="Z153" i="9"/>
  <c r="Z154" i="9"/>
  <c r="Z155" i="9"/>
  <c r="Z156" i="9"/>
  <c r="Z157" i="9"/>
  <c r="Z158" i="9"/>
  <c r="Z159" i="9"/>
  <c r="Z160" i="9"/>
  <c r="Z161" i="9"/>
  <c r="Z162" i="9"/>
  <c r="Z163" i="9"/>
  <c r="Z164" i="9"/>
  <c r="Z165" i="9"/>
  <c r="Z166" i="9"/>
  <c r="Z167" i="9"/>
  <c r="Z168" i="9"/>
  <c r="Z169" i="9"/>
  <c r="Z170" i="9"/>
  <c r="Z171" i="9"/>
  <c r="Z172" i="9"/>
  <c r="Z173" i="9"/>
  <c r="Z174" i="9"/>
  <c r="Z175" i="9"/>
  <c r="Z176" i="9"/>
  <c r="Z177" i="9"/>
  <c r="Z178" i="9"/>
  <c r="Z179" i="9"/>
  <c r="Z180" i="9"/>
  <c r="Z181" i="9"/>
  <c r="Z182" i="9"/>
  <c r="Z183" i="9"/>
  <c r="Z184" i="9"/>
  <c r="Z185" i="9"/>
  <c r="Z186" i="9"/>
  <c r="Z187" i="9"/>
  <c r="Z188" i="9"/>
  <c r="Z189" i="9"/>
  <c r="Z190" i="9"/>
  <c r="Z191" i="9"/>
  <c r="Z192" i="9"/>
  <c r="Z193" i="9"/>
  <c r="Z194" i="9"/>
  <c r="Z195" i="9"/>
  <c r="Z196" i="9"/>
  <c r="Z197" i="9"/>
  <c r="Z198" i="9"/>
  <c r="Z199" i="9"/>
  <c r="Z200" i="9"/>
  <c r="Z201" i="9"/>
  <c r="Z202" i="9"/>
  <c r="Z203" i="9"/>
  <c r="Z204" i="9"/>
  <c r="Z205" i="9"/>
  <c r="Z206" i="9"/>
  <c r="Z207" i="9"/>
  <c r="Z208" i="9"/>
  <c r="Z209" i="9"/>
  <c r="Z210" i="9"/>
  <c r="Z211" i="9"/>
  <c r="Z212" i="9"/>
  <c r="Z213" i="9"/>
  <c r="Z214" i="9"/>
  <c r="Z215" i="9"/>
  <c r="Z216" i="9"/>
  <c r="Z217" i="9"/>
  <c r="Z218" i="9"/>
  <c r="Z219" i="9"/>
  <c r="Z220" i="9"/>
  <c r="Z221" i="9"/>
  <c r="Z222" i="9"/>
  <c r="Z223" i="9"/>
  <c r="Z224" i="9"/>
  <c r="Z225" i="9"/>
  <c r="Z226" i="9"/>
  <c r="Z227" i="9"/>
  <c r="Z228" i="9"/>
  <c r="Z229" i="9"/>
  <c r="Z230" i="9"/>
  <c r="Z231" i="9"/>
  <c r="Z232" i="9"/>
  <c r="Z233" i="9"/>
  <c r="Z234" i="9"/>
  <c r="Z235" i="9"/>
  <c r="Z236" i="9"/>
  <c r="Z237" i="9"/>
  <c r="Z238" i="9"/>
  <c r="Z239" i="9"/>
  <c r="Z240" i="9"/>
  <c r="Z241" i="9"/>
  <c r="Z242" i="9"/>
  <c r="Z243" i="9"/>
  <c r="Z244" i="9"/>
  <c r="Z245" i="9"/>
  <c r="Z246" i="9"/>
  <c r="Z247" i="9"/>
  <c r="Z248" i="9"/>
  <c r="Z249" i="9"/>
  <c r="Z250" i="9"/>
  <c r="Z251" i="9"/>
  <c r="Z252" i="9"/>
  <c r="Z253" i="9"/>
  <c r="Z254" i="9"/>
  <c r="Z255" i="9"/>
  <c r="Z256" i="9"/>
  <c r="Z257" i="9"/>
  <c r="Z258" i="9"/>
  <c r="Z259" i="9"/>
  <c r="Z260" i="9"/>
  <c r="Z261" i="9"/>
  <c r="Z262" i="9"/>
  <c r="Z263" i="9"/>
  <c r="Z264" i="9"/>
  <c r="Z265" i="9"/>
  <c r="Z266" i="9"/>
  <c r="Z267" i="9"/>
  <c r="Z268" i="9"/>
  <c r="Z269" i="9"/>
  <c r="Z270" i="9"/>
  <c r="Z271" i="9"/>
  <c r="Z272" i="9"/>
  <c r="Z273" i="9"/>
  <c r="Z274" i="9"/>
  <c r="Z275" i="9"/>
  <c r="Z276" i="9"/>
  <c r="Z277" i="9"/>
  <c r="Z278" i="9"/>
  <c r="Z279" i="9"/>
  <c r="Z280" i="9"/>
  <c r="Z281" i="9"/>
  <c r="Z282" i="9"/>
  <c r="Z283" i="9"/>
  <c r="Z284" i="9"/>
  <c r="Z285" i="9"/>
  <c r="Z286" i="9"/>
  <c r="Z287" i="9"/>
  <c r="Z288" i="9"/>
  <c r="Z289" i="9"/>
  <c r="Z290" i="9"/>
  <c r="Z291" i="9"/>
  <c r="Z292" i="9"/>
  <c r="Z293" i="9"/>
  <c r="Z294" i="9"/>
  <c r="Z295" i="9"/>
  <c r="Z296" i="9"/>
  <c r="Z297" i="9"/>
  <c r="Z298" i="9"/>
  <c r="Z299" i="9"/>
  <c r="Z300" i="9"/>
  <c r="Z301" i="9"/>
  <c r="Z302" i="9"/>
  <c r="Z303" i="9"/>
  <c r="Z304" i="9"/>
  <c r="Z305" i="9"/>
  <c r="Z306" i="9"/>
  <c r="Z307" i="9"/>
  <c r="Z308" i="9"/>
  <c r="Z309" i="9"/>
  <c r="Z310" i="9"/>
  <c r="Z311" i="9"/>
  <c r="Z312" i="9"/>
  <c r="Z313" i="9"/>
  <c r="Z314" i="9"/>
  <c r="Z315" i="9"/>
  <c r="Z316" i="9"/>
  <c r="Z317" i="9"/>
  <c r="Z318" i="9"/>
  <c r="Z319" i="9"/>
  <c r="Z320" i="9"/>
  <c r="Z321" i="9"/>
  <c r="Z322" i="9"/>
  <c r="Z323" i="9"/>
  <c r="Z324" i="9"/>
  <c r="Z325" i="9"/>
  <c r="Z326" i="9"/>
  <c r="Z327" i="9"/>
  <c r="Z328" i="9"/>
  <c r="Z329" i="9"/>
  <c r="Z330" i="9"/>
  <c r="Z331" i="9"/>
  <c r="Z332" i="9"/>
  <c r="Z333" i="9"/>
  <c r="Z334" i="9"/>
  <c r="Z335" i="9"/>
  <c r="Z336" i="9"/>
  <c r="Z337" i="9"/>
  <c r="Z338" i="9"/>
  <c r="Z339" i="9"/>
  <c r="Z340" i="9"/>
  <c r="Z341" i="9"/>
  <c r="Z342" i="9"/>
  <c r="Z343" i="9"/>
  <c r="Z344" i="9"/>
  <c r="Z345" i="9"/>
  <c r="Z346" i="9"/>
  <c r="Z347" i="9"/>
  <c r="Z348" i="9"/>
  <c r="Z349" i="9"/>
  <c r="Z350" i="9"/>
  <c r="Z351" i="9"/>
  <c r="Z352" i="9"/>
  <c r="Z353" i="9"/>
  <c r="Z354" i="9"/>
  <c r="Z355" i="9"/>
  <c r="Z356" i="9"/>
  <c r="Z357" i="9"/>
  <c r="Z358" i="9"/>
  <c r="Z359" i="9"/>
  <c r="Z360" i="9"/>
  <c r="Z361" i="9"/>
  <c r="Z362" i="9"/>
  <c r="Z363" i="9"/>
  <c r="Z364" i="9"/>
  <c r="Z365" i="9"/>
  <c r="Z366" i="9"/>
  <c r="Z367" i="9"/>
  <c r="Z368" i="9"/>
  <c r="Z369" i="9"/>
  <c r="Z370" i="9"/>
  <c r="Z371" i="9"/>
  <c r="Z372" i="9"/>
  <c r="Z373" i="9"/>
  <c r="Z374" i="9"/>
  <c r="Z375" i="9"/>
  <c r="Z376" i="9"/>
  <c r="Z377" i="9"/>
  <c r="Z378" i="9"/>
  <c r="Z379" i="9"/>
  <c r="Z380" i="9"/>
  <c r="Z381" i="9"/>
  <c r="Z382" i="9"/>
  <c r="Z383" i="9"/>
  <c r="Z384" i="9"/>
  <c r="Z385" i="9"/>
  <c r="Z386" i="9"/>
  <c r="Z387" i="9"/>
  <c r="Z388" i="9"/>
  <c r="Z389" i="9"/>
  <c r="Z390" i="9"/>
  <c r="Z391" i="9"/>
  <c r="Z392" i="9"/>
  <c r="Z393" i="9"/>
  <c r="Z394" i="9"/>
  <c r="Z395" i="9"/>
  <c r="Z396" i="9"/>
  <c r="Z397" i="9"/>
  <c r="Z398" i="9"/>
  <c r="Z399" i="9"/>
  <c r="Z400" i="9"/>
  <c r="Z401" i="9"/>
  <c r="Z402" i="9"/>
  <c r="Z403" i="9"/>
  <c r="Z404" i="9"/>
  <c r="Z405" i="9"/>
  <c r="Z406" i="9"/>
  <c r="Z407" i="9"/>
  <c r="Z408" i="9"/>
  <c r="Z409" i="9"/>
  <c r="Z410" i="9"/>
  <c r="Z411" i="9"/>
  <c r="Z412" i="9"/>
  <c r="Z413" i="9"/>
  <c r="Z414" i="9"/>
  <c r="Z415" i="9"/>
  <c r="Z416" i="9"/>
  <c r="Z417" i="9"/>
  <c r="Z418" i="9"/>
  <c r="Z419" i="9"/>
  <c r="Z420" i="9"/>
  <c r="Z421" i="9"/>
  <c r="Z422" i="9"/>
  <c r="Z423" i="9"/>
  <c r="Z424" i="9"/>
  <c r="Z425" i="9"/>
  <c r="Z426" i="9"/>
  <c r="Z427" i="9"/>
  <c r="Z428" i="9"/>
  <c r="Z429" i="9"/>
  <c r="Z430" i="9"/>
  <c r="Z431" i="9"/>
  <c r="Z432" i="9"/>
  <c r="Z433" i="9"/>
  <c r="Z434" i="9"/>
  <c r="Z435" i="9"/>
  <c r="Z436" i="9"/>
  <c r="Z437" i="9"/>
  <c r="Z438" i="9"/>
  <c r="Z439" i="9"/>
  <c r="Z440" i="9"/>
  <c r="Z441" i="9"/>
  <c r="Z442" i="9"/>
  <c r="Z443" i="9"/>
  <c r="Z444" i="9"/>
  <c r="Z445" i="9"/>
  <c r="Z446" i="9"/>
  <c r="Z447" i="9"/>
  <c r="Z448" i="9"/>
  <c r="Z449" i="9"/>
  <c r="Z450" i="9"/>
  <c r="Z451" i="9"/>
  <c r="Z452" i="9"/>
  <c r="Z453" i="9"/>
  <c r="Z454" i="9"/>
  <c r="Z455" i="9"/>
  <c r="Z456" i="9"/>
  <c r="Z457" i="9"/>
  <c r="Z458" i="9"/>
  <c r="Z459" i="9"/>
  <c r="Z460" i="9"/>
  <c r="Z461" i="9"/>
  <c r="Z462" i="9"/>
  <c r="Z463" i="9"/>
  <c r="Z464" i="9"/>
  <c r="Z465" i="9"/>
  <c r="Z466" i="9"/>
  <c r="Z467" i="9"/>
  <c r="Z468" i="9"/>
  <c r="Z469" i="9"/>
  <c r="Z470" i="9"/>
  <c r="Z471" i="9"/>
  <c r="Z472" i="9"/>
  <c r="Z473" i="9"/>
  <c r="Z474" i="9"/>
  <c r="Z475" i="9"/>
  <c r="Z476" i="9"/>
  <c r="Z477" i="9"/>
  <c r="Z478" i="9"/>
  <c r="Z479" i="9"/>
  <c r="Z480" i="9"/>
  <c r="Z481" i="9"/>
  <c r="Z482" i="9"/>
  <c r="Z483" i="9"/>
  <c r="Z484" i="9"/>
  <c r="Z485" i="9"/>
  <c r="Z486" i="9"/>
  <c r="Z487" i="9"/>
  <c r="Z488" i="9"/>
  <c r="Z489" i="9"/>
  <c r="Z490" i="9"/>
  <c r="Z491" i="9"/>
  <c r="Z492" i="9"/>
  <c r="Z493" i="9"/>
  <c r="Z494" i="9"/>
  <c r="Z495" i="9"/>
  <c r="Z496" i="9"/>
  <c r="Z497" i="9"/>
  <c r="Z498" i="9"/>
  <c r="Z499" i="9"/>
  <c r="Z500" i="9"/>
  <c r="Z6" i="9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6" i="8"/>
  <c r="Z7" i="7"/>
  <c r="Z8" i="7"/>
  <c r="Z9" i="7"/>
  <c r="Z10" i="7"/>
  <c r="Z11" i="7"/>
  <c r="Z12" i="7"/>
  <c r="Z13" i="7"/>
  <c r="Z14" i="7"/>
  <c r="Z15" i="7"/>
  <c r="Z16" i="7"/>
  <c r="Z17" i="7"/>
  <c r="Z18" i="7"/>
  <c r="Z19" i="7"/>
  <c r="Z20" i="7"/>
  <c r="Z21" i="7"/>
  <c r="Z22" i="7"/>
  <c r="Z23" i="7"/>
  <c r="Z24" i="7"/>
  <c r="Z25" i="7"/>
  <c r="Z26" i="7"/>
  <c r="Z27" i="7"/>
  <c r="Z28" i="7"/>
  <c r="Z29" i="7"/>
  <c r="Z30" i="7"/>
  <c r="Z31" i="7"/>
  <c r="Z32" i="7"/>
  <c r="Z33" i="7"/>
  <c r="Z34" i="7"/>
  <c r="Z35" i="7"/>
  <c r="Z36" i="7"/>
  <c r="Z37" i="7"/>
  <c r="Z38" i="7"/>
  <c r="Z39" i="7"/>
  <c r="Z40" i="7"/>
  <c r="Z41" i="7"/>
  <c r="Z42" i="7"/>
  <c r="Z43" i="7"/>
  <c r="Z44" i="7"/>
  <c r="Z45" i="7"/>
  <c r="Z46" i="7"/>
  <c r="Z47" i="7"/>
  <c r="Z48" i="7"/>
  <c r="Z49" i="7"/>
  <c r="Z50" i="7"/>
  <c r="Z51" i="7"/>
  <c r="Z52" i="7"/>
  <c r="Z53" i="7"/>
  <c r="Z54" i="7"/>
  <c r="Z55" i="7"/>
  <c r="Z56" i="7"/>
  <c r="Z57" i="7"/>
  <c r="Z58" i="7"/>
  <c r="Z59" i="7"/>
  <c r="Z60" i="7"/>
  <c r="Z61" i="7"/>
  <c r="Z62" i="7"/>
  <c r="Z63" i="7"/>
  <c r="Z64" i="7"/>
  <c r="Z65" i="7"/>
  <c r="Z66" i="7"/>
  <c r="Z67" i="7"/>
  <c r="Z68" i="7"/>
  <c r="Z69" i="7"/>
  <c r="Z70" i="7"/>
  <c r="Z71" i="7"/>
  <c r="Z72" i="7"/>
  <c r="Z73" i="7"/>
  <c r="Z74" i="7"/>
  <c r="Z75" i="7"/>
  <c r="Z76" i="7"/>
  <c r="Z77" i="7"/>
  <c r="Z78" i="7"/>
  <c r="Z79" i="7"/>
  <c r="Z80" i="7"/>
  <c r="Z81" i="7"/>
  <c r="Z82" i="7"/>
  <c r="Z83" i="7"/>
  <c r="Z84" i="7"/>
  <c r="Z85" i="7"/>
  <c r="Z86" i="7"/>
  <c r="Z87" i="7"/>
  <c r="Z88" i="7"/>
  <c r="Z89" i="7"/>
  <c r="Z90" i="7"/>
  <c r="Z91" i="7"/>
  <c r="Z92" i="7"/>
  <c r="Z93" i="7"/>
  <c r="Z94" i="7"/>
  <c r="Z95" i="7"/>
  <c r="Z96" i="7"/>
  <c r="Z97" i="7"/>
  <c r="Z98" i="7"/>
  <c r="Z99" i="7"/>
  <c r="Z100" i="7"/>
  <c r="Z101" i="7"/>
  <c r="Z102" i="7"/>
  <c r="Z103" i="7"/>
  <c r="Z104" i="7"/>
  <c r="Z105" i="7"/>
  <c r="Z106" i="7"/>
  <c r="Z107" i="7"/>
  <c r="Z108" i="7"/>
  <c r="Z109" i="7"/>
  <c r="Z110" i="7"/>
  <c r="Z111" i="7"/>
  <c r="Z112" i="7"/>
  <c r="Z113" i="7"/>
  <c r="Z114" i="7"/>
  <c r="Z115" i="7"/>
  <c r="Z116" i="7"/>
  <c r="Z117" i="7"/>
  <c r="Z118" i="7"/>
  <c r="Z119" i="7"/>
  <c r="Z120" i="7"/>
  <c r="Z121" i="7"/>
  <c r="Z122" i="7"/>
  <c r="Z123" i="7"/>
  <c r="Z124" i="7"/>
  <c r="Z125" i="7"/>
  <c r="Z126" i="7"/>
  <c r="Z127" i="7"/>
  <c r="Z128" i="7"/>
  <c r="Z129" i="7"/>
  <c r="Z130" i="7"/>
  <c r="Z131" i="7"/>
  <c r="Z132" i="7"/>
  <c r="Z133" i="7"/>
  <c r="Z134" i="7"/>
  <c r="Z135" i="7"/>
  <c r="Z136" i="7"/>
  <c r="Z137" i="7"/>
  <c r="Z138" i="7"/>
  <c r="Z139" i="7"/>
  <c r="Z140" i="7"/>
  <c r="Z141" i="7"/>
  <c r="Z142" i="7"/>
  <c r="Z143" i="7"/>
  <c r="Z144" i="7"/>
  <c r="Z145" i="7"/>
  <c r="Z146" i="7"/>
  <c r="Z147" i="7"/>
  <c r="Z148" i="7"/>
  <c r="Z149" i="7"/>
  <c r="Z150" i="7"/>
  <c r="Z151" i="7"/>
  <c r="Z152" i="7"/>
  <c r="Z153" i="7"/>
  <c r="Z154" i="7"/>
  <c r="Z155" i="7"/>
  <c r="Z156" i="7"/>
  <c r="Z157" i="7"/>
  <c r="Z158" i="7"/>
  <c r="Z159" i="7"/>
  <c r="Z160" i="7"/>
  <c r="Z161" i="7"/>
  <c r="Z162" i="7"/>
  <c r="Z163" i="7"/>
  <c r="Z164" i="7"/>
  <c r="Z165" i="7"/>
  <c r="Z166" i="7"/>
  <c r="Z167" i="7"/>
  <c r="Z168" i="7"/>
  <c r="Z169" i="7"/>
  <c r="Z170" i="7"/>
  <c r="Z171" i="7"/>
  <c r="Z172" i="7"/>
  <c r="Z173" i="7"/>
  <c r="Z174" i="7"/>
  <c r="Z175" i="7"/>
  <c r="Z176" i="7"/>
  <c r="Z177" i="7"/>
  <c r="Z178" i="7"/>
  <c r="Z179" i="7"/>
  <c r="Z180" i="7"/>
  <c r="Z181" i="7"/>
  <c r="Z182" i="7"/>
  <c r="Z183" i="7"/>
  <c r="Z184" i="7"/>
  <c r="Z185" i="7"/>
  <c r="Z186" i="7"/>
  <c r="Z187" i="7"/>
  <c r="Z188" i="7"/>
  <c r="Z189" i="7"/>
  <c r="Z190" i="7"/>
  <c r="Z191" i="7"/>
  <c r="Z192" i="7"/>
  <c r="Z193" i="7"/>
  <c r="Z194" i="7"/>
  <c r="Z195" i="7"/>
  <c r="Z196" i="7"/>
  <c r="Z197" i="7"/>
  <c r="Z198" i="7"/>
  <c r="Z199" i="7"/>
  <c r="Z200" i="7"/>
  <c r="Z201" i="7"/>
  <c r="Z202" i="7"/>
  <c r="Z203" i="7"/>
  <c r="Z204" i="7"/>
  <c r="Z205" i="7"/>
  <c r="Z206" i="7"/>
  <c r="Z207" i="7"/>
  <c r="Z208" i="7"/>
  <c r="Z209" i="7"/>
  <c r="Z210" i="7"/>
  <c r="Z211" i="7"/>
  <c r="Z212" i="7"/>
  <c r="Z213" i="7"/>
  <c r="Z214" i="7"/>
  <c r="Z215" i="7"/>
  <c r="Z216" i="7"/>
  <c r="Z217" i="7"/>
  <c r="Z218" i="7"/>
  <c r="Z219" i="7"/>
  <c r="Z220" i="7"/>
  <c r="Z221" i="7"/>
  <c r="Z222" i="7"/>
  <c r="Z223" i="7"/>
  <c r="Z224" i="7"/>
  <c r="Z225" i="7"/>
  <c r="Z226" i="7"/>
  <c r="Z227" i="7"/>
  <c r="Z228" i="7"/>
  <c r="Z229" i="7"/>
  <c r="Z230" i="7"/>
  <c r="Z231" i="7"/>
  <c r="Z232" i="7"/>
  <c r="Z233" i="7"/>
  <c r="Z234" i="7"/>
  <c r="Z235" i="7"/>
  <c r="Z236" i="7"/>
  <c r="Z237" i="7"/>
  <c r="Z238" i="7"/>
  <c r="Z239" i="7"/>
  <c r="Z240" i="7"/>
  <c r="Z241" i="7"/>
  <c r="Z242" i="7"/>
  <c r="Z243" i="7"/>
  <c r="Z244" i="7"/>
  <c r="Z245" i="7"/>
  <c r="Z246" i="7"/>
  <c r="Z247" i="7"/>
  <c r="Z248" i="7"/>
  <c r="Z249" i="7"/>
  <c r="Z250" i="7"/>
  <c r="Z251" i="7"/>
  <c r="Z252" i="7"/>
  <c r="Z253" i="7"/>
  <c r="Z254" i="7"/>
  <c r="Z255" i="7"/>
  <c r="Z256" i="7"/>
  <c r="Z257" i="7"/>
  <c r="Z258" i="7"/>
  <c r="Z259" i="7"/>
  <c r="Z260" i="7"/>
  <c r="Z261" i="7"/>
  <c r="Z262" i="7"/>
  <c r="Z263" i="7"/>
  <c r="Z264" i="7"/>
  <c r="Z265" i="7"/>
  <c r="Z266" i="7"/>
  <c r="Z267" i="7"/>
  <c r="Z268" i="7"/>
  <c r="Z269" i="7"/>
  <c r="Z270" i="7"/>
  <c r="Z271" i="7"/>
  <c r="Z272" i="7"/>
  <c r="Z273" i="7"/>
  <c r="Z274" i="7"/>
  <c r="Z275" i="7"/>
  <c r="Z276" i="7"/>
  <c r="Z277" i="7"/>
  <c r="Z278" i="7"/>
  <c r="Z279" i="7"/>
  <c r="Z280" i="7"/>
  <c r="Z281" i="7"/>
  <c r="Z282" i="7"/>
  <c r="Z283" i="7"/>
  <c r="Z284" i="7"/>
  <c r="Z285" i="7"/>
  <c r="Z286" i="7"/>
  <c r="Z287" i="7"/>
  <c r="Z288" i="7"/>
  <c r="Z289" i="7"/>
  <c r="Z290" i="7"/>
  <c r="Z291" i="7"/>
  <c r="Z292" i="7"/>
  <c r="Z293" i="7"/>
  <c r="Z294" i="7"/>
  <c r="Z295" i="7"/>
  <c r="Z296" i="7"/>
  <c r="Z297" i="7"/>
  <c r="Z298" i="7"/>
  <c r="Z299" i="7"/>
  <c r="Z300" i="7"/>
  <c r="Z301" i="7"/>
  <c r="Z302" i="7"/>
  <c r="Z303" i="7"/>
  <c r="Z304" i="7"/>
  <c r="Z305" i="7"/>
  <c r="Z306" i="7"/>
  <c r="Z307" i="7"/>
  <c r="Z308" i="7"/>
  <c r="Z309" i="7"/>
  <c r="Z310" i="7"/>
  <c r="Z311" i="7"/>
  <c r="Z312" i="7"/>
  <c r="Z313" i="7"/>
  <c r="Z314" i="7"/>
  <c r="Z315" i="7"/>
  <c r="Z316" i="7"/>
  <c r="Z317" i="7"/>
  <c r="Z318" i="7"/>
  <c r="Z319" i="7"/>
  <c r="Z320" i="7"/>
  <c r="Z321" i="7"/>
  <c r="Z322" i="7"/>
  <c r="Z323" i="7"/>
  <c r="Z324" i="7"/>
  <c r="Z325" i="7"/>
  <c r="Z326" i="7"/>
  <c r="Z327" i="7"/>
  <c r="Z328" i="7"/>
  <c r="Z329" i="7"/>
  <c r="Z330" i="7"/>
  <c r="Z331" i="7"/>
  <c r="Z332" i="7"/>
  <c r="Z333" i="7"/>
  <c r="Z334" i="7"/>
  <c r="Z335" i="7"/>
  <c r="Z336" i="7"/>
  <c r="Z337" i="7"/>
  <c r="Z338" i="7"/>
  <c r="Z339" i="7"/>
  <c r="Z340" i="7"/>
  <c r="Z341" i="7"/>
  <c r="Z342" i="7"/>
  <c r="Z343" i="7"/>
  <c r="Z344" i="7"/>
  <c r="Z345" i="7"/>
  <c r="Z346" i="7"/>
  <c r="Z347" i="7"/>
  <c r="Z348" i="7"/>
  <c r="Z349" i="7"/>
  <c r="Z350" i="7"/>
  <c r="Z351" i="7"/>
  <c r="Z352" i="7"/>
  <c r="Z353" i="7"/>
  <c r="Z354" i="7"/>
  <c r="Z355" i="7"/>
  <c r="Z356" i="7"/>
  <c r="Z357" i="7"/>
  <c r="Z358" i="7"/>
  <c r="Z359" i="7"/>
  <c r="Z360" i="7"/>
  <c r="Z361" i="7"/>
  <c r="Z362" i="7"/>
  <c r="Z363" i="7"/>
  <c r="Z364" i="7"/>
  <c r="Z365" i="7"/>
  <c r="Z366" i="7"/>
  <c r="Z367" i="7"/>
  <c r="Z368" i="7"/>
  <c r="Z369" i="7"/>
  <c r="Z370" i="7"/>
  <c r="Z371" i="7"/>
  <c r="Z372" i="7"/>
  <c r="Z373" i="7"/>
  <c r="Z374" i="7"/>
  <c r="Z375" i="7"/>
  <c r="Z376" i="7"/>
  <c r="Z377" i="7"/>
  <c r="Z378" i="7"/>
  <c r="Z379" i="7"/>
  <c r="Z380" i="7"/>
  <c r="Z381" i="7"/>
  <c r="Z382" i="7"/>
  <c r="Z383" i="7"/>
  <c r="Z384" i="7"/>
  <c r="Z385" i="7"/>
  <c r="Z386" i="7"/>
  <c r="Z387" i="7"/>
  <c r="Z388" i="7"/>
  <c r="Z389" i="7"/>
  <c r="Z390" i="7"/>
  <c r="Z391" i="7"/>
  <c r="Z392" i="7"/>
  <c r="Z393" i="7"/>
  <c r="Z394" i="7"/>
  <c r="Z395" i="7"/>
  <c r="Z396" i="7"/>
  <c r="Z397" i="7"/>
  <c r="Z398" i="7"/>
  <c r="Z399" i="7"/>
  <c r="Z400" i="7"/>
  <c r="Z401" i="7"/>
  <c r="Z402" i="7"/>
  <c r="Z403" i="7"/>
  <c r="Z404" i="7"/>
  <c r="Z405" i="7"/>
  <c r="Z406" i="7"/>
  <c r="Z407" i="7"/>
  <c r="Z408" i="7"/>
  <c r="Z409" i="7"/>
  <c r="Z410" i="7"/>
  <c r="Z411" i="7"/>
  <c r="Z412" i="7"/>
  <c r="Z413" i="7"/>
  <c r="Z414" i="7"/>
  <c r="Z415" i="7"/>
  <c r="Z416" i="7"/>
  <c r="Z417" i="7"/>
  <c r="Z418" i="7"/>
  <c r="Z419" i="7"/>
  <c r="Z420" i="7"/>
  <c r="Z421" i="7"/>
  <c r="Z422" i="7"/>
  <c r="Z423" i="7"/>
  <c r="Z424" i="7"/>
  <c r="Z425" i="7"/>
  <c r="Z426" i="7"/>
  <c r="Z427" i="7"/>
  <c r="Z428" i="7"/>
  <c r="Z429" i="7"/>
  <c r="Z430" i="7"/>
  <c r="Z431" i="7"/>
  <c r="Z432" i="7"/>
  <c r="Z433" i="7"/>
  <c r="Z434" i="7"/>
  <c r="Z435" i="7"/>
  <c r="Z436" i="7"/>
  <c r="Z437" i="7"/>
  <c r="Z438" i="7"/>
  <c r="Z439" i="7"/>
  <c r="Z440" i="7"/>
  <c r="Z441" i="7"/>
  <c r="Z442" i="7"/>
  <c r="Z443" i="7"/>
  <c r="Z444" i="7"/>
  <c r="Z445" i="7"/>
  <c r="Z446" i="7"/>
  <c r="Z447" i="7"/>
  <c r="Z448" i="7"/>
  <c r="Z449" i="7"/>
  <c r="Z450" i="7"/>
  <c r="Z451" i="7"/>
  <c r="Z452" i="7"/>
  <c r="Z453" i="7"/>
  <c r="Z454" i="7"/>
  <c r="Z455" i="7"/>
  <c r="Z456" i="7"/>
  <c r="Z457" i="7"/>
  <c r="Z458" i="7"/>
  <c r="Z459" i="7"/>
  <c r="Z460" i="7"/>
  <c r="Z461" i="7"/>
  <c r="Z462" i="7"/>
  <c r="Z463" i="7"/>
  <c r="Z464" i="7"/>
  <c r="Z465" i="7"/>
  <c r="Z466" i="7"/>
  <c r="Z467" i="7"/>
  <c r="Z468" i="7"/>
  <c r="Z469" i="7"/>
  <c r="Z470" i="7"/>
  <c r="Z471" i="7"/>
  <c r="Z472" i="7"/>
  <c r="Z473" i="7"/>
  <c r="Z474" i="7"/>
  <c r="Z475" i="7"/>
  <c r="Z476" i="7"/>
  <c r="Z477" i="7"/>
  <c r="Z478" i="7"/>
  <c r="Z479" i="7"/>
  <c r="Z480" i="7"/>
  <c r="Z481" i="7"/>
  <c r="Z482" i="7"/>
  <c r="Z483" i="7"/>
  <c r="Z484" i="7"/>
  <c r="Z485" i="7"/>
  <c r="Z486" i="7"/>
  <c r="Z487" i="7"/>
  <c r="Z488" i="7"/>
  <c r="Z489" i="7"/>
  <c r="Z490" i="7"/>
  <c r="Z491" i="7"/>
  <c r="Z492" i="7"/>
  <c r="Z493" i="7"/>
  <c r="Z494" i="7"/>
  <c r="Z495" i="7"/>
  <c r="Z496" i="7"/>
  <c r="Z497" i="7"/>
  <c r="Z498" i="7"/>
  <c r="Z499" i="7"/>
  <c r="Z500" i="7"/>
  <c r="Z6" i="7"/>
  <c r="Z7" i="6"/>
  <c r="Z8" i="6"/>
  <c r="Z9" i="6"/>
  <c r="Z10" i="6"/>
  <c r="Z11" i="6"/>
  <c r="Z12" i="6"/>
  <c r="Z13" i="6"/>
  <c r="Z14" i="6"/>
  <c r="Z15" i="6"/>
  <c r="Z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Z36" i="6"/>
  <c r="Z37" i="6"/>
  <c r="Z38" i="6"/>
  <c r="Z39" i="6"/>
  <c r="Z40" i="6"/>
  <c r="Z41" i="6"/>
  <c r="Z42" i="6"/>
  <c r="Z43" i="6"/>
  <c r="Z44" i="6"/>
  <c r="Z45" i="6"/>
  <c r="Z46" i="6"/>
  <c r="Z47" i="6"/>
  <c r="Z48" i="6"/>
  <c r="Z49" i="6"/>
  <c r="Z50" i="6"/>
  <c r="Z51" i="6"/>
  <c r="Z52" i="6"/>
  <c r="Z53" i="6"/>
  <c r="Z54" i="6"/>
  <c r="Z55" i="6"/>
  <c r="Z56" i="6"/>
  <c r="Z57" i="6"/>
  <c r="Z58" i="6"/>
  <c r="Z59" i="6"/>
  <c r="Z60" i="6"/>
  <c r="Z61" i="6"/>
  <c r="Z62" i="6"/>
  <c r="Z63" i="6"/>
  <c r="Z64" i="6"/>
  <c r="Z65" i="6"/>
  <c r="Z66" i="6"/>
  <c r="Z67" i="6"/>
  <c r="Z68" i="6"/>
  <c r="Z69" i="6"/>
  <c r="Z70" i="6"/>
  <c r="Z71" i="6"/>
  <c r="Z72" i="6"/>
  <c r="Z73" i="6"/>
  <c r="Z74" i="6"/>
  <c r="Z75" i="6"/>
  <c r="Z76" i="6"/>
  <c r="Z77" i="6"/>
  <c r="Z78" i="6"/>
  <c r="Z79" i="6"/>
  <c r="Z80" i="6"/>
  <c r="Z81" i="6"/>
  <c r="Z82" i="6"/>
  <c r="Z83" i="6"/>
  <c r="Z84" i="6"/>
  <c r="Z85" i="6"/>
  <c r="Z86" i="6"/>
  <c r="Z87" i="6"/>
  <c r="Z88" i="6"/>
  <c r="Z89" i="6"/>
  <c r="Z90" i="6"/>
  <c r="Z91" i="6"/>
  <c r="Z92" i="6"/>
  <c r="Z93" i="6"/>
  <c r="Z94" i="6"/>
  <c r="Z95" i="6"/>
  <c r="Z96" i="6"/>
  <c r="Z97" i="6"/>
  <c r="Z98" i="6"/>
  <c r="Z99" i="6"/>
  <c r="Z100" i="6"/>
  <c r="Z101" i="6"/>
  <c r="Z102" i="6"/>
  <c r="Z103" i="6"/>
  <c r="Z104" i="6"/>
  <c r="Z105" i="6"/>
  <c r="Z106" i="6"/>
  <c r="Z107" i="6"/>
  <c r="Z108" i="6"/>
  <c r="Z109" i="6"/>
  <c r="Z110" i="6"/>
  <c r="Z111" i="6"/>
  <c r="Z112" i="6"/>
  <c r="Z113" i="6"/>
  <c r="Z114" i="6"/>
  <c r="Z115" i="6"/>
  <c r="Z116" i="6"/>
  <c r="Z117" i="6"/>
  <c r="Z118" i="6"/>
  <c r="Z119" i="6"/>
  <c r="Z120" i="6"/>
  <c r="Z121" i="6"/>
  <c r="Z122" i="6"/>
  <c r="Z123" i="6"/>
  <c r="Z124" i="6"/>
  <c r="Z125" i="6"/>
  <c r="Z126" i="6"/>
  <c r="Z127" i="6"/>
  <c r="Z128" i="6"/>
  <c r="Z129" i="6"/>
  <c r="Z130" i="6"/>
  <c r="Z131" i="6"/>
  <c r="Z132" i="6"/>
  <c r="Z133" i="6"/>
  <c r="Z134" i="6"/>
  <c r="Z135" i="6"/>
  <c r="Z136" i="6"/>
  <c r="Z137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60" i="6"/>
  <c r="Z161" i="6"/>
  <c r="Z162" i="6"/>
  <c r="Z163" i="6"/>
  <c r="Z164" i="6"/>
  <c r="Z165" i="6"/>
  <c r="Z166" i="6"/>
  <c r="Z167" i="6"/>
  <c r="Z168" i="6"/>
  <c r="Z169" i="6"/>
  <c r="Z170" i="6"/>
  <c r="Z171" i="6"/>
  <c r="Z172" i="6"/>
  <c r="Z173" i="6"/>
  <c r="Z174" i="6"/>
  <c r="Z175" i="6"/>
  <c r="Z176" i="6"/>
  <c r="Z177" i="6"/>
  <c r="Z178" i="6"/>
  <c r="Z179" i="6"/>
  <c r="Z180" i="6"/>
  <c r="Z181" i="6"/>
  <c r="Z182" i="6"/>
  <c r="Z183" i="6"/>
  <c r="Z184" i="6"/>
  <c r="Z185" i="6"/>
  <c r="Z186" i="6"/>
  <c r="Z187" i="6"/>
  <c r="Z188" i="6"/>
  <c r="Z189" i="6"/>
  <c r="Z190" i="6"/>
  <c r="Z191" i="6"/>
  <c r="Z192" i="6"/>
  <c r="Z193" i="6"/>
  <c r="Z194" i="6"/>
  <c r="Z195" i="6"/>
  <c r="Z196" i="6"/>
  <c r="Z197" i="6"/>
  <c r="Z198" i="6"/>
  <c r="Z199" i="6"/>
  <c r="Z200" i="6"/>
  <c r="Z201" i="6"/>
  <c r="Z202" i="6"/>
  <c r="Z203" i="6"/>
  <c r="Z204" i="6"/>
  <c r="Z205" i="6"/>
  <c r="Z206" i="6"/>
  <c r="Z207" i="6"/>
  <c r="Z208" i="6"/>
  <c r="Z209" i="6"/>
  <c r="Z210" i="6"/>
  <c r="Z211" i="6"/>
  <c r="Z212" i="6"/>
  <c r="Z213" i="6"/>
  <c r="Z214" i="6"/>
  <c r="Z215" i="6"/>
  <c r="Z216" i="6"/>
  <c r="Z217" i="6"/>
  <c r="Z218" i="6"/>
  <c r="Z219" i="6"/>
  <c r="Z220" i="6"/>
  <c r="Z221" i="6"/>
  <c r="Z222" i="6"/>
  <c r="Z223" i="6"/>
  <c r="Z224" i="6"/>
  <c r="Z225" i="6"/>
  <c r="Z226" i="6"/>
  <c r="Z227" i="6"/>
  <c r="Z228" i="6"/>
  <c r="Z229" i="6"/>
  <c r="Z230" i="6"/>
  <c r="Z231" i="6"/>
  <c r="Z232" i="6"/>
  <c r="Z233" i="6"/>
  <c r="Z234" i="6"/>
  <c r="Z235" i="6"/>
  <c r="Z236" i="6"/>
  <c r="Z237" i="6"/>
  <c r="Z238" i="6"/>
  <c r="Z239" i="6"/>
  <c r="Z240" i="6"/>
  <c r="Z241" i="6"/>
  <c r="Z242" i="6"/>
  <c r="Z243" i="6"/>
  <c r="Z244" i="6"/>
  <c r="Z245" i="6"/>
  <c r="Z246" i="6"/>
  <c r="Z247" i="6"/>
  <c r="Z248" i="6"/>
  <c r="Z249" i="6"/>
  <c r="Z250" i="6"/>
  <c r="Z251" i="6"/>
  <c r="Z252" i="6"/>
  <c r="Z253" i="6"/>
  <c r="Z254" i="6"/>
  <c r="Z255" i="6"/>
  <c r="Z256" i="6"/>
  <c r="Z257" i="6"/>
  <c r="Z258" i="6"/>
  <c r="Z259" i="6"/>
  <c r="Z260" i="6"/>
  <c r="Z261" i="6"/>
  <c r="Z262" i="6"/>
  <c r="Z263" i="6"/>
  <c r="Z264" i="6"/>
  <c r="Z265" i="6"/>
  <c r="Z266" i="6"/>
  <c r="Z267" i="6"/>
  <c r="Z268" i="6"/>
  <c r="Z269" i="6"/>
  <c r="Z270" i="6"/>
  <c r="Z271" i="6"/>
  <c r="Z272" i="6"/>
  <c r="Z273" i="6"/>
  <c r="Z274" i="6"/>
  <c r="Z275" i="6"/>
  <c r="Z276" i="6"/>
  <c r="Z277" i="6"/>
  <c r="Z278" i="6"/>
  <c r="Z279" i="6"/>
  <c r="Z280" i="6"/>
  <c r="Z281" i="6"/>
  <c r="Z282" i="6"/>
  <c r="Z283" i="6"/>
  <c r="Z284" i="6"/>
  <c r="Z285" i="6"/>
  <c r="Z286" i="6"/>
  <c r="Z287" i="6"/>
  <c r="Z288" i="6"/>
  <c r="Z289" i="6"/>
  <c r="Z290" i="6"/>
  <c r="Z291" i="6"/>
  <c r="Z292" i="6"/>
  <c r="Z293" i="6"/>
  <c r="Z294" i="6"/>
  <c r="Z295" i="6"/>
  <c r="Z296" i="6"/>
  <c r="Z297" i="6"/>
  <c r="Z298" i="6"/>
  <c r="Z299" i="6"/>
  <c r="Z300" i="6"/>
  <c r="Z301" i="6"/>
  <c r="Z302" i="6"/>
  <c r="Z303" i="6"/>
  <c r="Z304" i="6"/>
  <c r="Z305" i="6"/>
  <c r="Z306" i="6"/>
  <c r="Z307" i="6"/>
  <c r="Z308" i="6"/>
  <c r="Z309" i="6"/>
  <c r="Z310" i="6"/>
  <c r="Z311" i="6"/>
  <c r="Z312" i="6"/>
  <c r="Z313" i="6"/>
  <c r="Z314" i="6"/>
  <c r="Z315" i="6"/>
  <c r="Z316" i="6"/>
  <c r="Z317" i="6"/>
  <c r="Z318" i="6"/>
  <c r="Z319" i="6"/>
  <c r="Z320" i="6"/>
  <c r="Z321" i="6"/>
  <c r="Z322" i="6"/>
  <c r="Z323" i="6"/>
  <c r="Z324" i="6"/>
  <c r="Z325" i="6"/>
  <c r="Z326" i="6"/>
  <c r="Z327" i="6"/>
  <c r="Z328" i="6"/>
  <c r="Z329" i="6"/>
  <c r="Z330" i="6"/>
  <c r="Z331" i="6"/>
  <c r="Z332" i="6"/>
  <c r="Z333" i="6"/>
  <c r="Z334" i="6"/>
  <c r="Z335" i="6"/>
  <c r="Z336" i="6"/>
  <c r="Z337" i="6"/>
  <c r="Z338" i="6"/>
  <c r="Z339" i="6"/>
  <c r="Z340" i="6"/>
  <c r="Z341" i="6"/>
  <c r="Z342" i="6"/>
  <c r="Z343" i="6"/>
  <c r="Z344" i="6"/>
  <c r="Z345" i="6"/>
  <c r="Z346" i="6"/>
  <c r="Z347" i="6"/>
  <c r="Z348" i="6"/>
  <c r="Z349" i="6"/>
  <c r="Z350" i="6"/>
  <c r="Z351" i="6"/>
  <c r="Z352" i="6"/>
  <c r="Z353" i="6"/>
  <c r="Z354" i="6"/>
  <c r="Z355" i="6"/>
  <c r="Z356" i="6"/>
  <c r="Z357" i="6"/>
  <c r="Z358" i="6"/>
  <c r="Z359" i="6"/>
  <c r="Z360" i="6"/>
  <c r="Z361" i="6"/>
  <c r="Z362" i="6"/>
  <c r="Z363" i="6"/>
  <c r="Z364" i="6"/>
  <c r="Z365" i="6"/>
  <c r="Z366" i="6"/>
  <c r="Z367" i="6"/>
  <c r="Z368" i="6"/>
  <c r="Z369" i="6"/>
  <c r="Z370" i="6"/>
  <c r="Z371" i="6"/>
  <c r="Z372" i="6"/>
  <c r="Z373" i="6"/>
  <c r="Z374" i="6"/>
  <c r="Z375" i="6"/>
  <c r="Z376" i="6"/>
  <c r="Z377" i="6"/>
  <c r="Z378" i="6"/>
  <c r="Z379" i="6"/>
  <c r="Z380" i="6"/>
  <c r="Z381" i="6"/>
  <c r="Z382" i="6"/>
  <c r="Z383" i="6"/>
  <c r="Z384" i="6"/>
  <c r="Z385" i="6"/>
  <c r="Z386" i="6"/>
  <c r="Z387" i="6"/>
  <c r="Z388" i="6"/>
  <c r="Z389" i="6"/>
  <c r="Z390" i="6"/>
  <c r="Z391" i="6"/>
  <c r="Z392" i="6"/>
  <c r="Z393" i="6"/>
  <c r="Z394" i="6"/>
  <c r="Z395" i="6"/>
  <c r="Z396" i="6"/>
  <c r="Z397" i="6"/>
  <c r="Z398" i="6"/>
  <c r="Z399" i="6"/>
  <c r="Z400" i="6"/>
  <c r="Z401" i="6"/>
  <c r="Z402" i="6"/>
  <c r="Z403" i="6"/>
  <c r="Z404" i="6"/>
  <c r="Z405" i="6"/>
  <c r="Z406" i="6"/>
  <c r="Z407" i="6"/>
  <c r="Z408" i="6"/>
  <c r="Z409" i="6"/>
  <c r="Z410" i="6"/>
  <c r="Z411" i="6"/>
  <c r="Z412" i="6"/>
  <c r="Z413" i="6"/>
  <c r="Z414" i="6"/>
  <c r="Z415" i="6"/>
  <c r="Z416" i="6"/>
  <c r="Z417" i="6"/>
  <c r="Z418" i="6"/>
  <c r="Z419" i="6"/>
  <c r="Z420" i="6"/>
  <c r="Z421" i="6"/>
  <c r="Z422" i="6"/>
  <c r="Z423" i="6"/>
  <c r="Z424" i="6"/>
  <c r="Z425" i="6"/>
  <c r="Z426" i="6"/>
  <c r="Z427" i="6"/>
  <c r="Z428" i="6"/>
  <c r="Z429" i="6"/>
  <c r="Z430" i="6"/>
  <c r="Z431" i="6"/>
  <c r="Z432" i="6"/>
  <c r="Z433" i="6"/>
  <c r="Z434" i="6"/>
  <c r="Z435" i="6"/>
  <c r="Z436" i="6"/>
  <c r="Z437" i="6"/>
  <c r="Z438" i="6"/>
  <c r="Z439" i="6"/>
  <c r="Z440" i="6"/>
  <c r="Z441" i="6"/>
  <c r="Z442" i="6"/>
  <c r="Z443" i="6"/>
  <c r="Z444" i="6"/>
  <c r="Z445" i="6"/>
  <c r="Z446" i="6"/>
  <c r="Z447" i="6"/>
  <c r="Z448" i="6"/>
  <c r="Z449" i="6"/>
  <c r="Z450" i="6"/>
  <c r="Z451" i="6"/>
  <c r="Z452" i="6"/>
  <c r="Z453" i="6"/>
  <c r="Z454" i="6"/>
  <c r="Z455" i="6"/>
  <c r="Z456" i="6"/>
  <c r="Z457" i="6"/>
  <c r="Z458" i="6"/>
  <c r="Z459" i="6"/>
  <c r="Z460" i="6"/>
  <c r="Z461" i="6"/>
  <c r="Z462" i="6"/>
  <c r="Z463" i="6"/>
  <c r="Z464" i="6"/>
  <c r="Z465" i="6"/>
  <c r="Z466" i="6"/>
  <c r="Z467" i="6"/>
  <c r="Z468" i="6"/>
  <c r="Z469" i="6"/>
  <c r="Z470" i="6"/>
  <c r="Z471" i="6"/>
  <c r="Z472" i="6"/>
  <c r="Z473" i="6"/>
  <c r="Z474" i="6"/>
  <c r="Z475" i="6"/>
  <c r="Z476" i="6"/>
  <c r="Z477" i="6"/>
  <c r="Z478" i="6"/>
  <c r="Z479" i="6"/>
  <c r="Z480" i="6"/>
  <c r="Z481" i="6"/>
  <c r="Z482" i="6"/>
  <c r="Z483" i="6"/>
  <c r="Z484" i="6"/>
  <c r="Z485" i="6"/>
  <c r="Z486" i="6"/>
  <c r="Z487" i="6"/>
  <c r="Z488" i="6"/>
  <c r="Z489" i="6"/>
  <c r="Z490" i="6"/>
  <c r="Z491" i="6"/>
  <c r="Z492" i="6"/>
  <c r="Z493" i="6"/>
  <c r="Z494" i="6"/>
  <c r="Z495" i="6"/>
  <c r="Z496" i="6"/>
  <c r="Z497" i="6"/>
  <c r="Z498" i="6"/>
  <c r="Z499" i="6"/>
  <c r="Z500" i="6"/>
  <c r="Z6" i="6"/>
  <c r="F102" i="17"/>
  <c r="F101" i="17"/>
  <c r="F100" i="17"/>
  <c r="F99" i="17"/>
  <c r="F98" i="17"/>
  <c r="F97" i="17"/>
  <c r="F96" i="17"/>
  <c r="F95" i="17"/>
  <c r="F94" i="17"/>
  <c r="F93" i="17"/>
  <c r="F92" i="17"/>
  <c r="F91" i="17"/>
  <c r="F90" i="17"/>
  <c r="F89" i="17"/>
  <c r="F88" i="17"/>
  <c r="F87" i="17"/>
  <c r="F86" i="17"/>
  <c r="F85" i="17"/>
  <c r="F84" i="17"/>
  <c r="F83" i="17"/>
  <c r="F82" i="17"/>
  <c r="F81" i="17"/>
  <c r="F80" i="17"/>
  <c r="F79" i="17"/>
  <c r="F78" i="17"/>
  <c r="F77" i="17"/>
  <c r="F76" i="17"/>
  <c r="F75" i="17"/>
  <c r="F74" i="17"/>
  <c r="F73" i="17"/>
  <c r="F72" i="17"/>
  <c r="F71" i="17"/>
  <c r="F70" i="17"/>
  <c r="F69" i="17"/>
  <c r="F68" i="17"/>
  <c r="F67" i="17"/>
  <c r="F66" i="17"/>
  <c r="F65" i="17"/>
  <c r="F64" i="17"/>
  <c r="F63" i="17"/>
  <c r="F62" i="17"/>
  <c r="F61" i="17"/>
  <c r="F60" i="17"/>
  <c r="F59" i="17"/>
  <c r="F58" i="17"/>
  <c r="F57" i="17"/>
  <c r="F56" i="17"/>
  <c r="F55" i="17"/>
  <c r="F54" i="17"/>
  <c r="F53" i="17"/>
  <c r="F52" i="17"/>
  <c r="F51" i="17"/>
  <c r="F50" i="17"/>
  <c r="F49" i="17"/>
  <c r="F48" i="17"/>
  <c r="F47" i="17"/>
  <c r="F46" i="17"/>
  <c r="F45" i="17"/>
  <c r="F44" i="17"/>
  <c r="F43" i="17"/>
  <c r="F42" i="17"/>
  <c r="F41" i="17"/>
  <c r="F40" i="17"/>
  <c r="F39" i="17"/>
  <c r="F38" i="17"/>
  <c r="F37" i="17"/>
  <c r="F36" i="17"/>
  <c r="F35" i="17"/>
  <c r="F34" i="17"/>
  <c r="F33" i="17"/>
  <c r="F32" i="17"/>
  <c r="F31" i="17"/>
  <c r="C31" i="17"/>
  <c r="M17" i="4" s="1"/>
  <c r="F30" i="17"/>
  <c r="F29" i="17"/>
  <c r="F28" i="17"/>
  <c r="F27" i="17"/>
  <c r="Q26" i="17"/>
  <c r="AS71" i="4" s="1"/>
  <c r="M47" i="3" s="1"/>
  <c r="F26" i="17"/>
  <c r="P25" i="17"/>
  <c r="Q25" i="17" s="1"/>
  <c r="AS70" i="4" s="1"/>
  <c r="M46" i="3" s="1"/>
  <c r="F25" i="17"/>
  <c r="P24" i="17"/>
  <c r="Q24" i="17" s="1"/>
  <c r="AS69" i="4" s="1"/>
  <c r="M45" i="3" s="1"/>
  <c r="F24" i="17"/>
  <c r="P23" i="17"/>
  <c r="Q23" i="17" s="1"/>
  <c r="AS68" i="4" s="1"/>
  <c r="M44" i="3" s="1"/>
  <c r="F23" i="17"/>
  <c r="P22" i="17"/>
  <c r="Q22" i="17" s="1"/>
  <c r="AS67" i="4" s="1"/>
  <c r="M43" i="3" s="1"/>
  <c r="F22" i="17"/>
  <c r="C22" i="17"/>
  <c r="L17" i="4" s="1"/>
  <c r="P21" i="17"/>
  <c r="Q21" i="17" s="1"/>
  <c r="AS66" i="4" s="1"/>
  <c r="M42" i="3" s="1"/>
  <c r="F21" i="17"/>
  <c r="P20" i="17"/>
  <c r="Q20" i="17" s="1"/>
  <c r="AS65" i="4" s="1"/>
  <c r="M41" i="3" s="1"/>
  <c r="F20" i="17"/>
  <c r="P19" i="17"/>
  <c r="Q19" i="17" s="1"/>
  <c r="AS64" i="4" s="1"/>
  <c r="M40" i="3" s="1"/>
  <c r="F19" i="17"/>
  <c r="P18" i="17"/>
  <c r="Q18" i="17" s="1"/>
  <c r="AS63" i="4" s="1"/>
  <c r="M39" i="3" s="1"/>
  <c r="F18" i="17"/>
  <c r="P17" i="17"/>
  <c r="Q17" i="17" s="1"/>
  <c r="AS62" i="4" s="1"/>
  <c r="M38" i="3" s="1"/>
  <c r="F17" i="17"/>
  <c r="P16" i="17"/>
  <c r="Q16" i="17" s="1"/>
  <c r="AS61" i="4" s="1"/>
  <c r="M37" i="3" s="1"/>
  <c r="F16" i="17"/>
  <c r="P15" i="17"/>
  <c r="Q15" i="17" s="1"/>
  <c r="AS60" i="4" s="1"/>
  <c r="M36" i="3" s="1"/>
  <c r="F15" i="17"/>
  <c r="P14" i="17"/>
  <c r="Q14" i="17" s="1"/>
  <c r="AS59" i="4" s="1"/>
  <c r="M35" i="3" s="1"/>
  <c r="F14" i="17"/>
  <c r="P13" i="17"/>
  <c r="Q13" i="17" s="1"/>
  <c r="AS58" i="4" s="1"/>
  <c r="M34" i="3" s="1"/>
  <c r="F13" i="17"/>
  <c r="P12" i="17"/>
  <c r="Q12" i="17" s="1"/>
  <c r="AS57" i="4" s="1"/>
  <c r="M33" i="3" s="1"/>
  <c r="F12" i="17"/>
  <c r="P11" i="17"/>
  <c r="Q11" i="17" s="1"/>
  <c r="AS56" i="4" s="1"/>
  <c r="M32" i="3" s="1"/>
  <c r="F11" i="17"/>
  <c r="P10" i="17"/>
  <c r="Q10" i="17" s="1"/>
  <c r="AS55" i="4" s="1"/>
  <c r="M31" i="3" s="1"/>
  <c r="F10" i="17"/>
  <c r="F9" i="17"/>
  <c r="F8" i="17"/>
  <c r="F7" i="17"/>
  <c r="F6" i="17"/>
  <c r="L4" i="17"/>
  <c r="E17" i="4" s="1"/>
  <c r="G4" i="17"/>
  <c r="D17" i="4" s="1"/>
  <c r="C4" i="17"/>
  <c r="C17" i="4" s="1"/>
  <c r="F17" i="4" l="1"/>
  <c r="O10" i="4"/>
  <c r="Q10" i="4"/>
  <c r="R10" i="4"/>
  <c r="T10" i="4"/>
  <c r="U10" i="4"/>
  <c r="X10" i="4"/>
  <c r="W10" i="4"/>
  <c r="P10" i="4"/>
  <c r="S10" i="4"/>
  <c r="V10" i="4"/>
  <c r="P7" i="4"/>
  <c r="Q7" i="4"/>
  <c r="O7" i="4"/>
  <c r="R7" i="4"/>
  <c r="S7" i="4"/>
  <c r="T7" i="4"/>
  <c r="U7" i="4"/>
  <c r="V7" i="4"/>
  <c r="W7" i="4"/>
  <c r="X7" i="4"/>
  <c r="Q17" i="4"/>
  <c r="P17" i="4"/>
  <c r="O17" i="4"/>
  <c r="S17" i="4"/>
  <c r="X17" i="4"/>
  <c r="W17" i="4"/>
  <c r="V17" i="4"/>
  <c r="U17" i="4"/>
  <c r="T17" i="4"/>
  <c r="R17" i="4"/>
  <c r="R16" i="4"/>
  <c r="Q16" i="4"/>
  <c r="P16" i="4"/>
  <c r="S16" i="4"/>
  <c r="O16" i="4"/>
  <c r="X16" i="4"/>
  <c r="W16" i="4"/>
  <c r="V16" i="4"/>
  <c r="U16" i="4"/>
  <c r="T16" i="4"/>
  <c r="Q8" i="4"/>
  <c r="P8" i="4"/>
  <c r="R8" i="4"/>
  <c r="S8" i="4"/>
  <c r="U8" i="4"/>
  <c r="X8" i="4"/>
  <c r="W8" i="4"/>
  <c r="O8" i="4"/>
  <c r="V8" i="4"/>
  <c r="T8" i="4"/>
  <c r="T15" i="4"/>
  <c r="R15" i="4"/>
  <c r="Q15" i="4"/>
  <c r="P15" i="4"/>
  <c r="S15" i="4"/>
  <c r="X15" i="4"/>
  <c r="W15" i="4"/>
  <c r="O15" i="4"/>
  <c r="V15" i="4"/>
  <c r="U15" i="4"/>
  <c r="O6" i="4"/>
  <c r="U14" i="4"/>
  <c r="O14" i="4"/>
  <c r="T14" i="4"/>
  <c r="R14" i="4"/>
  <c r="Q14" i="4"/>
  <c r="P14" i="4"/>
  <c r="S14" i="4"/>
  <c r="X14" i="4"/>
  <c r="W14" i="4"/>
  <c r="V14" i="4"/>
  <c r="V13" i="4"/>
  <c r="O13" i="4"/>
  <c r="U13" i="4"/>
  <c r="T13" i="4"/>
  <c r="R13" i="4"/>
  <c r="Q13" i="4"/>
  <c r="P13" i="4"/>
  <c r="S13" i="4"/>
  <c r="X13" i="4"/>
  <c r="W13" i="4"/>
  <c r="X12" i="4"/>
  <c r="W12" i="4"/>
  <c r="V12" i="4"/>
  <c r="O12" i="4"/>
  <c r="U12" i="4"/>
  <c r="P12" i="4"/>
  <c r="T12" i="4"/>
  <c r="R12" i="4"/>
  <c r="Q12" i="4"/>
  <c r="S12" i="4"/>
  <c r="S11" i="4"/>
  <c r="O11" i="4"/>
  <c r="X11" i="4"/>
  <c r="W11" i="4"/>
  <c r="V11" i="4"/>
  <c r="U11" i="4"/>
  <c r="T11" i="4"/>
  <c r="R11" i="4"/>
  <c r="Q11" i="4"/>
  <c r="P11" i="4"/>
  <c r="Q9" i="4"/>
  <c r="U9" i="4"/>
  <c r="P9" i="4"/>
  <c r="V9" i="4"/>
  <c r="R9" i="4"/>
  <c r="S9" i="4"/>
  <c r="T9" i="4"/>
  <c r="X9" i="4"/>
  <c r="W9" i="4"/>
  <c r="O9" i="4"/>
  <c r="N17" i="4"/>
  <c r="Q8" i="17"/>
  <c r="F102" i="16" l="1"/>
  <c r="F101" i="16"/>
  <c r="F100" i="16"/>
  <c r="F99" i="16"/>
  <c r="F98" i="16"/>
  <c r="F97" i="16"/>
  <c r="F96" i="16"/>
  <c r="F95" i="16"/>
  <c r="F94" i="16"/>
  <c r="F93" i="16"/>
  <c r="F92" i="16"/>
  <c r="F91" i="16"/>
  <c r="F90" i="16"/>
  <c r="F89" i="16"/>
  <c r="F88" i="16"/>
  <c r="F87" i="16"/>
  <c r="F86" i="16"/>
  <c r="F85" i="16"/>
  <c r="F84" i="16"/>
  <c r="F83" i="16"/>
  <c r="F82" i="16"/>
  <c r="F81" i="16"/>
  <c r="F80" i="16"/>
  <c r="F79" i="16"/>
  <c r="F78" i="16"/>
  <c r="F77" i="16"/>
  <c r="F76" i="16"/>
  <c r="F75" i="16"/>
  <c r="F74" i="16"/>
  <c r="F73" i="16"/>
  <c r="F72" i="16"/>
  <c r="F71" i="16"/>
  <c r="F70" i="16"/>
  <c r="F69" i="16"/>
  <c r="F68" i="16"/>
  <c r="F67" i="16"/>
  <c r="F66" i="16"/>
  <c r="F65" i="16"/>
  <c r="F64" i="16"/>
  <c r="F63" i="16"/>
  <c r="F62" i="16"/>
  <c r="F61" i="16"/>
  <c r="F60" i="16"/>
  <c r="F59" i="16"/>
  <c r="F58" i="16"/>
  <c r="F57" i="16"/>
  <c r="F56" i="16"/>
  <c r="F55" i="16"/>
  <c r="F54" i="16"/>
  <c r="F53" i="16"/>
  <c r="F52" i="16"/>
  <c r="F51" i="16"/>
  <c r="F50" i="16"/>
  <c r="F49" i="16"/>
  <c r="F48" i="16"/>
  <c r="F47" i="16"/>
  <c r="F46" i="16"/>
  <c r="F45" i="16"/>
  <c r="F44" i="16"/>
  <c r="F43" i="16"/>
  <c r="F42" i="16"/>
  <c r="F41" i="16"/>
  <c r="F40" i="16"/>
  <c r="F39" i="16"/>
  <c r="F38" i="16"/>
  <c r="F37" i="16"/>
  <c r="F36" i="16"/>
  <c r="F35" i="16"/>
  <c r="F34" i="16"/>
  <c r="F33" i="16"/>
  <c r="F32" i="16"/>
  <c r="F31" i="16"/>
  <c r="C31" i="16"/>
  <c r="M16" i="4" s="1"/>
  <c r="F30" i="16"/>
  <c r="F29" i="16"/>
  <c r="F28" i="16"/>
  <c r="F27" i="16"/>
  <c r="Q26" i="16"/>
  <c r="AR71" i="4" s="1"/>
  <c r="L47" i="3" s="1"/>
  <c r="F26" i="16"/>
  <c r="P25" i="16"/>
  <c r="Q25" i="16" s="1"/>
  <c r="AR70" i="4" s="1"/>
  <c r="L46" i="3" s="1"/>
  <c r="F25" i="16"/>
  <c r="P24" i="16"/>
  <c r="Q24" i="16" s="1"/>
  <c r="AR69" i="4" s="1"/>
  <c r="L45" i="3" s="1"/>
  <c r="F24" i="16"/>
  <c r="P23" i="16"/>
  <c r="Q23" i="16" s="1"/>
  <c r="AR68" i="4" s="1"/>
  <c r="L44" i="3" s="1"/>
  <c r="F23" i="16"/>
  <c r="P22" i="16"/>
  <c r="Q22" i="16" s="1"/>
  <c r="AR67" i="4" s="1"/>
  <c r="L43" i="3" s="1"/>
  <c r="F22" i="16"/>
  <c r="C22" i="16"/>
  <c r="L16" i="4" s="1"/>
  <c r="W37" i="4" s="1"/>
  <c r="E13" i="3" s="1"/>
  <c r="P21" i="16"/>
  <c r="Q21" i="16" s="1"/>
  <c r="AR66" i="4" s="1"/>
  <c r="L42" i="3" s="1"/>
  <c r="F21" i="16"/>
  <c r="P20" i="16"/>
  <c r="Q20" i="16" s="1"/>
  <c r="AR65" i="4" s="1"/>
  <c r="L41" i="3" s="1"/>
  <c r="F20" i="16"/>
  <c r="P19" i="16"/>
  <c r="Q19" i="16" s="1"/>
  <c r="AR64" i="4" s="1"/>
  <c r="L40" i="3" s="1"/>
  <c r="F19" i="16"/>
  <c r="P18" i="16"/>
  <c r="Q18" i="16" s="1"/>
  <c r="AR63" i="4" s="1"/>
  <c r="L39" i="3" s="1"/>
  <c r="F18" i="16"/>
  <c r="P17" i="16"/>
  <c r="Q17" i="16" s="1"/>
  <c r="AR62" i="4" s="1"/>
  <c r="L38" i="3" s="1"/>
  <c r="F17" i="16"/>
  <c r="P16" i="16"/>
  <c r="Q16" i="16" s="1"/>
  <c r="AR61" i="4" s="1"/>
  <c r="L37" i="3" s="1"/>
  <c r="F16" i="16"/>
  <c r="P15" i="16"/>
  <c r="Q15" i="16" s="1"/>
  <c r="AR60" i="4" s="1"/>
  <c r="L36" i="3" s="1"/>
  <c r="F15" i="16"/>
  <c r="P14" i="16"/>
  <c r="Q14" i="16" s="1"/>
  <c r="AR59" i="4" s="1"/>
  <c r="L35" i="3" s="1"/>
  <c r="F14" i="16"/>
  <c r="P13" i="16"/>
  <c r="Q13" i="16" s="1"/>
  <c r="AR58" i="4" s="1"/>
  <c r="L34" i="3" s="1"/>
  <c r="F13" i="16"/>
  <c r="P12" i="16"/>
  <c r="Q12" i="16" s="1"/>
  <c r="AR57" i="4" s="1"/>
  <c r="L33" i="3" s="1"/>
  <c r="F12" i="16"/>
  <c r="P11" i="16"/>
  <c r="Q11" i="16" s="1"/>
  <c r="AR56" i="4" s="1"/>
  <c r="L32" i="3" s="1"/>
  <c r="F11" i="16"/>
  <c r="P10" i="16"/>
  <c r="Q10" i="16" s="1"/>
  <c r="AR55" i="4" s="1"/>
  <c r="L31" i="3" s="1"/>
  <c r="F10" i="16"/>
  <c r="F9" i="16"/>
  <c r="F8" i="16"/>
  <c r="F7" i="16"/>
  <c r="F6" i="16"/>
  <c r="L4" i="16"/>
  <c r="E16" i="4" s="1"/>
  <c r="V37" i="4" s="1"/>
  <c r="D13" i="3" s="1"/>
  <c r="G4" i="16"/>
  <c r="D16" i="4" s="1"/>
  <c r="C4" i="16"/>
  <c r="C16" i="4" s="1"/>
  <c r="T37" i="4" s="1"/>
  <c r="B13" i="3" s="1"/>
  <c r="F102" i="15"/>
  <c r="F101" i="15"/>
  <c r="F100" i="15"/>
  <c r="F99" i="15"/>
  <c r="F98" i="15"/>
  <c r="F97" i="15"/>
  <c r="F96" i="15"/>
  <c r="F95" i="15"/>
  <c r="F94" i="15"/>
  <c r="F93" i="15"/>
  <c r="F92" i="15"/>
  <c r="F91" i="15"/>
  <c r="F90" i="15"/>
  <c r="F89" i="15"/>
  <c r="F88" i="15"/>
  <c r="F87" i="15"/>
  <c r="F86" i="15"/>
  <c r="F85" i="15"/>
  <c r="F84" i="15"/>
  <c r="F83" i="15"/>
  <c r="F82" i="15"/>
  <c r="F81" i="15"/>
  <c r="F80" i="15"/>
  <c r="F79" i="15"/>
  <c r="F78" i="15"/>
  <c r="F77" i="15"/>
  <c r="F76" i="15"/>
  <c r="F75" i="15"/>
  <c r="F74" i="15"/>
  <c r="F73" i="15"/>
  <c r="F72" i="15"/>
  <c r="F71" i="15"/>
  <c r="F70" i="15"/>
  <c r="F69" i="15"/>
  <c r="F68" i="15"/>
  <c r="F67" i="15"/>
  <c r="F66" i="15"/>
  <c r="F65" i="15"/>
  <c r="F64" i="15"/>
  <c r="F63" i="15"/>
  <c r="F62" i="15"/>
  <c r="F61" i="15"/>
  <c r="F60" i="15"/>
  <c r="F59" i="15"/>
  <c r="F58" i="15"/>
  <c r="F57" i="15"/>
  <c r="F56" i="15"/>
  <c r="F55" i="15"/>
  <c r="F54" i="15"/>
  <c r="F53" i="15"/>
  <c r="F52" i="15"/>
  <c r="F51" i="15"/>
  <c r="F50" i="15"/>
  <c r="F49" i="15"/>
  <c r="F48" i="15"/>
  <c r="F47" i="15"/>
  <c r="F46" i="15"/>
  <c r="F45" i="15"/>
  <c r="F44" i="15"/>
  <c r="F43" i="15"/>
  <c r="F42" i="15"/>
  <c r="F41" i="15"/>
  <c r="F40" i="15"/>
  <c r="F39" i="15"/>
  <c r="F38" i="15"/>
  <c r="F37" i="15"/>
  <c r="F36" i="15"/>
  <c r="F35" i="15"/>
  <c r="F34" i="15"/>
  <c r="F33" i="15"/>
  <c r="F32" i="15"/>
  <c r="F31" i="15"/>
  <c r="C31" i="15"/>
  <c r="M15" i="4" s="1"/>
  <c r="X36" i="4" s="1"/>
  <c r="F12" i="3" s="1"/>
  <c r="F30" i="15"/>
  <c r="F29" i="15"/>
  <c r="F28" i="15"/>
  <c r="F27" i="15"/>
  <c r="Q26" i="15"/>
  <c r="AQ71" i="4" s="1"/>
  <c r="K47" i="3" s="1"/>
  <c r="F26" i="15"/>
  <c r="P25" i="15"/>
  <c r="Q25" i="15" s="1"/>
  <c r="AQ70" i="4" s="1"/>
  <c r="K46" i="3" s="1"/>
  <c r="F25" i="15"/>
  <c r="P24" i="15"/>
  <c r="Q24" i="15" s="1"/>
  <c r="AQ69" i="4" s="1"/>
  <c r="K45" i="3" s="1"/>
  <c r="F24" i="15"/>
  <c r="P23" i="15"/>
  <c r="Q23" i="15" s="1"/>
  <c r="AQ68" i="4" s="1"/>
  <c r="K44" i="3" s="1"/>
  <c r="F23" i="15"/>
  <c r="P22" i="15"/>
  <c r="Q22" i="15" s="1"/>
  <c r="AQ67" i="4" s="1"/>
  <c r="K43" i="3" s="1"/>
  <c r="F22" i="15"/>
  <c r="C22" i="15"/>
  <c r="L15" i="4" s="1"/>
  <c r="W36" i="4" s="1"/>
  <c r="E12" i="3" s="1"/>
  <c r="P21" i="15"/>
  <c r="Q21" i="15" s="1"/>
  <c r="AQ66" i="4" s="1"/>
  <c r="K42" i="3" s="1"/>
  <c r="F21" i="15"/>
  <c r="P20" i="15"/>
  <c r="Q20" i="15" s="1"/>
  <c r="AQ65" i="4" s="1"/>
  <c r="K41" i="3" s="1"/>
  <c r="F20" i="15"/>
  <c r="P19" i="15"/>
  <c r="Q19" i="15" s="1"/>
  <c r="AQ64" i="4" s="1"/>
  <c r="K40" i="3" s="1"/>
  <c r="F19" i="15"/>
  <c r="P18" i="15"/>
  <c r="Q18" i="15" s="1"/>
  <c r="AQ63" i="4" s="1"/>
  <c r="K39" i="3" s="1"/>
  <c r="F18" i="15"/>
  <c r="P17" i="15"/>
  <c r="Q17" i="15" s="1"/>
  <c r="AQ62" i="4" s="1"/>
  <c r="K38" i="3" s="1"/>
  <c r="F17" i="15"/>
  <c r="P16" i="15"/>
  <c r="Q16" i="15" s="1"/>
  <c r="AQ61" i="4" s="1"/>
  <c r="K37" i="3" s="1"/>
  <c r="F16" i="15"/>
  <c r="P15" i="15"/>
  <c r="Q15" i="15" s="1"/>
  <c r="AQ60" i="4" s="1"/>
  <c r="K36" i="3" s="1"/>
  <c r="F15" i="15"/>
  <c r="P14" i="15"/>
  <c r="Q14" i="15" s="1"/>
  <c r="AQ59" i="4" s="1"/>
  <c r="K35" i="3" s="1"/>
  <c r="F14" i="15"/>
  <c r="P13" i="15"/>
  <c r="Q13" i="15" s="1"/>
  <c r="AQ58" i="4" s="1"/>
  <c r="K34" i="3" s="1"/>
  <c r="F13" i="15"/>
  <c r="P12" i="15"/>
  <c r="Q12" i="15" s="1"/>
  <c r="AQ57" i="4" s="1"/>
  <c r="K33" i="3" s="1"/>
  <c r="F12" i="15"/>
  <c r="P11" i="15"/>
  <c r="Q11" i="15" s="1"/>
  <c r="AQ56" i="4" s="1"/>
  <c r="K32" i="3" s="1"/>
  <c r="F11" i="15"/>
  <c r="P10" i="15"/>
  <c r="Q10" i="15" s="1"/>
  <c r="AQ55" i="4" s="1"/>
  <c r="K31" i="3" s="1"/>
  <c r="F10" i="15"/>
  <c r="F9" i="15"/>
  <c r="F8" i="15"/>
  <c r="F7" i="15"/>
  <c r="F6" i="15"/>
  <c r="L4" i="15"/>
  <c r="E15" i="4" s="1"/>
  <c r="G4" i="15"/>
  <c r="D15" i="4" s="1"/>
  <c r="C4" i="15"/>
  <c r="C15" i="4" s="1"/>
  <c r="F102" i="14"/>
  <c r="F101" i="14"/>
  <c r="F100" i="14"/>
  <c r="F99" i="14"/>
  <c r="F98" i="14"/>
  <c r="F97" i="14"/>
  <c r="F96" i="14"/>
  <c r="F95" i="14"/>
  <c r="F94" i="14"/>
  <c r="F93" i="14"/>
  <c r="F92" i="14"/>
  <c r="F91" i="14"/>
  <c r="F90" i="14"/>
  <c r="F89" i="14"/>
  <c r="F88" i="14"/>
  <c r="F87" i="14"/>
  <c r="F86" i="14"/>
  <c r="F85" i="14"/>
  <c r="F84" i="14"/>
  <c r="F83" i="14"/>
  <c r="F82" i="14"/>
  <c r="F81" i="14"/>
  <c r="F80" i="14"/>
  <c r="F79" i="14"/>
  <c r="F78" i="14"/>
  <c r="F77" i="14"/>
  <c r="F76" i="14"/>
  <c r="F75" i="14"/>
  <c r="F74" i="14"/>
  <c r="F73" i="14"/>
  <c r="F72" i="14"/>
  <c r="F71" i="14"/>
  <c r="F70" i="14"/>
  <c r="F69" i="14"/>
  <c r="F68" i="14"/>
  <c r="F67" i="14"/>
  <c r="F66" i="14"/>
  <c r="F65" i="14"/>
  <c r="F64" i="14"/>
  <c r="F63" i="14"/>
  <c r="F62" i="14"/>
  <c r="F61" i="14"/>
  <c r="F60" i="14"/>
  <c r="F59" i="14"/>
  <c r="F58" i="14"/>
  <c r="F57" i="14"/>
  <c r="F56" i="14"/>
  <c r="F55" i="14"/>
  <c r="F54" i="14"/>
  <c r="F53" i="14"/>
  <c r="F52" i="14"/>
  <c r="F51" i="14"/>
  <c r="F50" i="14"/>
  <c r="F49" i="14"/>
  <c r="F48" i="14"/>
  <c r="F47" i="14"/>
  <c r="F46" i="14"/>
  <c r="F45" i="14"/>
  <c r="F44" i="14"/>
  <c r="F43" i="14"/>
  <c r="F42" i="14"/>
  <c r="F41" i="14"/>
  <c r="F40" i="14"/>
  <c r="F39" i="14"/>
  <c r="F38" i="14"/>
  <c r="F37" i="14"/>
  <c r="F36" i="14"/>
  <c r="F35" i="14"/>
  <c r="F34" i="14"/>
  <c r="F33" i="14"/>
  <c r="F32" i="14"/>
  <c r="F31" i="14"/>
  <c r="C31" i="14"/>
  <c r="M14" i="4" s="1"/>
  <c r="X35" i="4" s="1"/>
  <c r="F11" i="3" s="1"/>
  <c r="F30" i="14"/>
  <c r="F29" i="14"/>
  <c r="F28" i="14"/>
  <c r="F27" i="14"/>
  <c r="Q26" i="14"/>
  <c r="AP71" i="4" s="1"/>
  <c r="J47" i="3" s="1"/>
  <c r="F26" i="14"/>
  <c r="P25" i="14"/>
  <c r="Q25" i="14" s="1"/>
  <c r="AP70" i="4" s="1"/>
  <c r="J46" i="3" s="1"/>
  <c r="F25" i="14"/>
  <c r="P24" i="14"/>
  <c r="Q24" i="14" s="1"/>
  <c r="AP69" i="4" s="1"/>
  <c r="J45" i="3" s="1"/>
  <c r="F24" i="14"/>
  <c r="P23" i="14"/>
  <c r="Q23" i="14" s="1"/>
  <c r="AP68" i="4" s="1"/>
  <c r="J44" i="3" s="1"/>
  <c r="F23" i="14"/>
  <c r="P22" i="14"/>
  <c r="Q22" i="14" s="1"/>
  <c r="AP67" i="4" s="1"/>
  <c r="J43" i="3" s="1"/>
  <c r="F22" i="14"/>
  <c r="C22" i="14"/>
  <c r="L14" i="4" s="1"/>
  <c r="W35" i="4" s="1"/>
  <c r="E11" i="3" s="1"/>
  <c r="P21" i="14"/>
  <c r="Q21" i="14" s="1"/>
  <c r="AP66" i="4" s="1"/>
  <c r="J42" i="3" s="1"/>
  <c r="F21" i="14"/>
  <c r="P20" i="14"/>
  <c r="Q20" i="14" s="1"/>
  <c r="AP65" i="4" s="1"/>
  <c r="J41" i="3" s="1"/>
  <c r="F20" i="14"/>
  <c r="P19" i="14"/>
  <c r="Q19" i="14" s="1"/>
  <c r="AP64" i="4" s="1"/>
  <c r="J40" i="3" s="1"/>
  <c r="F19" i="14"/>
  <c r="P18" i="14"/>
  <c r="Q18" i="14" s="1"/>
  <c r="AP63" i="4" s="1"/>
  <c r="J39" i="3" s="1"/>
  <c r="F18" i="14"/>
  <c r="P17" i="14"/>
  <c r="Q17" i="14" s="1"/>
  <c r="AP62" i="4" s="1"/>
  <c r="J38" i="3" s="1"/>
  <c r="F17" i="14"/>
  <c r="P16" i="14"/>
  <c r="Q16" i="14" s="1"/>
  <c r="AP61" i="4" s="1"/>
  <c r="J37" i="3" s="1"/>
  <c r="F16" i="14"/>
  <c r="P15" i="14"/>
  <c r="Q15" i="14" s="1"/>
  <c r="AP60" i="4" s="1"/>
  <c r="J36" i="3" s="1"/>
  <c r="F15" i="14"/>
  <c r="P14" i="14"/>
  <c r="Q14" i="14" s="1"/>
  <c r="AP59" i="4" s="1"/>
  <c r="J35" i="3" s="1"/>
  <c r="F14" i="14"/>
  <c r="P13" i="14"/>
  <c r="Q13" i="14" s="1"/>
  <c r="AP58" i="4" s="1"/>
  <c r="J34" i="3" s="1"/>
  <c r="F13" i="14"/>
  <c r="P12" i="14"/>
  <c r="Q12" i="14" s="1"/>
  <c r="AP57" i="4" s="1"/>
  <c r="J33" i="3" s="1"/>
  <c r="F12" i="14"/>
  <c r="P11" i="14"/>
  <c r="Q11" i="14" s="1"/>
  <c r="AP56" i="4" s="1"/>
  <c r="J32" i="3" s="1"/>
  <c r="F11" i="14"/>
  <c r="P10" i="14"/>
  <c r="Q10" i="14" s="1"/>
  <c r="AP55" i="4" s="1"/>
  <c r="J31" i="3" s="1"/>
  <c r="F10" i="14"/>
  <c r="F9" i="14"/>
  <c r="F8" i="14"/>
  <c r="F7" i="14"/>
  <c r="F6" i="14"/>
  <c r="L4" i="14"/>
  <c r="E14" i="4" s="1"/>
  <c r="V35" i="4" s="1"/>
  <c r="D11" i="3" s="1"/>
  <c r="G4" i="14"/>
  <c r="D14" i="4" s="1"/>
  <c r="C4" i="14"/>
  <c r="C14" i="4" s="1"/>
  <c r="F102" i="13"/>
  <c r="F101" i="13"/>
  <c r="F100" i="13"/>
  <c r="F99" i="13"/>
  <c r="F98" i="13"/>
  <c r="F97" i="13"/>
  <c r="F96" i="13"/>
  <c r="F95" i="13"/>
  <c r="F94" i="13"/>
  <c r="F93" i="13"/>
  <c r="F92" i="13"/>
  <c r="F91" i="13"/>
  <c r="F90" i="13"/>
  <c r="F89" i="13"/>
  <c r="F88" i="13"/>
  <c r="F87" i="13"/>
  <c r="F86" i="13"/>
  <c r="F85" i="13"/>
  <c r="F84" i="13"/>
  <c r="F83" i="13"/>
  <c r="F82" i="13"/>
  <c r="F81" i="13"/>
  <c r="F80" i="13"/>
  <c r="F79" i="13"/>
  <c r="F78" i="13"/>
  <c r="F77" i="13"/>
  <c r="F76" i="13"/>
  <c r="F75" i="13"/>
  <c r="F74" i="13"/>
  <c r="F73" i="13"/>
  <c r="F72" i="13"/>
  <c r="F71" i="13"/>
  <c r="F70" i="13"/>
  <c r="F69" i="13"/>
  <c r="F68" i="13"/>
  <c r="F67" i="13"/>
  <c r="F66" i="13"/>
  <c r="F65" i="13"/>
  <c r="F64" i="13"/>
  <c r="F63" i="13"/>
  <c r="F62" i="13"/>
  <c r="F61" i="13"/>
  <c r="F60" i="13"/>
  <c r="F59" i="13"/>
  <c r="F58" i="13"/>
  <c r="F57" i="13"/>
  <c r="F56" i="13"/>
  <c r="F55" i="13"/>
  <c r="F54" i="13"/>
  <c r="F53" i="13"/>
  <c r="F52" i="13"/>
  <c r="F51" i="13"/>
  <c r="F50" i="13"/>
  <c r="F49" i="13"/>
  <c r="F48" i="13"/>
  <c r="F47" i="13"/>
  <c r="F46" i="13"/>
  <c r="F45" i="13"/>
  <c r="F44" i="13"/>
  <c r="F43" i="13"/>
  <c r="F42" i="13"/>
  <c r="F41" i="13"/>
  <c r="F40" i="13"/>
  <c r="F39" i="13"/>
  <c r="F38" i="13"/>
  <c r="F37" i="13"/>
  <c r="F36" i="13"/>
  <c r="F35" i="13"/>
  <c r="F34" i="13"/>
  <c r="F33" i="13"/>
  <c r="F32" i="13"/>
  <c r="F31" i="13"/>
  <c r="C31" i="13"/>
  <c r="M13" i="4" s="1"/>
  <c r="X34" i="4" s="1"/>
  <c r="F10" i="3" s="1"/>
  <c r="F30" i="13"/>
  <c r="F29" i="13"/>
  <c r="F28" i="13"/>
  <c r="F27" i="13"/>
  <c r="Q26" i="13"/>
  <c r="AO71" i="4" s="1"/>
  <c r="I47" i="3" s="1"/>
  <c r="F26" i="13"/>
  <c r="P25" i="13"/>
  <c r="Q25" i="13" s="1"/>
  <c r="AO70" i="4" s="1"/>
  <c r="I46" i="3" s="1"/>
  <c r="F25" i="13"/>
  <c r="P24" i="13"/>
  <c r="Q24" i="13" s="1"/>
  <c r="AO69" i="4" s="1"/>
  <c r="I45" i="3" s="1"/>
  <c r="F24" i="13"/>
  <c r="P23" i="13"/>
  <c r="Q23" i="13" s="1"/>
  <c r="AO68" i="4" s="1"/>
  <c r="I44" i="3" s="1"/>
  <c r="F23" i="13"/>
  <c r="P22" i="13"/>
  <c r="Q22" i="13" s="1"/>
  <c r="AO67" i="4" s="1"/>
  <c r="I43" i="3" s="1"/>
  <c r="F22" i="13"/>
  <c r="C22" i="13"/>
  <c r="L13" i="4" s="1"/>
  <c r="P21" i="13"/>
  <c r="Q21" i="13" s="1"/>
  <c r="AO66" i="4" s="1"/>
  <c r="I42" i="3" s="1"/>
  <c r="F21" i="13"/>
  <c r="P20" i="13"/>
  <c r="Q20" i="13" s="1"/>
  <c r="AO65" i="4" s="1"/>
  <c r="I41" i="3" s="1"/>
  <c r="F20" i="13"/>
  <c r="P19" i="13"/>
  <c r="Q19" i="13" s="1"/>
  <c r="AO64" i="4" s="1"/>
  <c r="I40" i="3" s="1"/>
  <c r="F19" i="13"/>
  <c r="P18" i="13"/>
  <c r="Q18" i="13" s="1"/>
  <c r="AO63" i="4" s="1"/>
  <c r="I39" i="3" s="1"/>
  <c r="F18" i="13"/>
  <c r="P17" i="13"/>
  <c r="Q17" i="13" s="1"/>
  <c r="AO62" i="4" s="1"/>
  <c r="I38" i="3" s="1"/>
  <c r="F17" i="13"/>
  <c r="P16" i="13"/>
  <c r="Q16" i="13" s="1"/>
  <c r="AO61" i="4" s="1"/>
  <c r="I37" i="3" s="1"/>
  <c r="F16" i="13"/>
  <c r="P15" i="13"/>
  <c r="Q15" i="13" s="1"/>
  <c r="AO60" i="4" s="1"/>
  <c r="I36" i="3" s="1"/>
  <c r="F15" i="13"/>
  <c r="P14" i="13"/>
  <c r="Q14" i="13" s="1"/>
  <c r="AO59" i="4" s="1"/>
  <c r="I35" i="3" s="1"/>
  <c r="F14" i="13"/>
  <c r="P13" i="13"/>
  <c r="Q13" i="13" s="1"/>
  <c r="AO58" i="4" s="1"/>
  <c r="I34" i="3" s="1"/>
  <c r="F13" i="13"/>
  <c r="P12" i="13"/>
  <c r="Q12" i="13" s="1"/>
  <c r="AO57" i="4" s="1"/>
  <c r="I33" i="3" s="1"/>
  <c r="F12" i="13"/>
  <c r="P11" i="13"/>
  <c r="Q11" i="13" s="1"/>
  <c r="AO56" i="4" s="1"/>
  <c r="I32" i="3" s="1"/>
  <c r="F11" i="13"/>
  <c r="P10" i="13"/>
  <c r="Q10" i="13" s="1"/>
  <c r="AO55" i="4" s="1"/>
  <c r="I31" i="3" s="1"/>
  <c r="F10" i="13"/>
  <c r="F9" i="13"/>
  <c r="F8" i="13"/>
  <c r="F7" i="13"/>
  <c r="F6" i="13"/>
  <c r="L4" i="13"/>
  <c r="E13" i="4" s="1"/>
  <c r="V34" i="4" s="1"/>
  <c r="D10" i="3" s="1"/>
  <c r="G4" i="13"/>
  <c r="D13" i="4" s="1"/>
  <c r="C4" i="13"/>
  <c r="C13" i="4" s="1"/>
  <c r="F102" i="12"/>
  <c r="F101" i="12"/>
  <c r="F100" i="12"/>
  <c r="F99" i="12"/>
  <c r="F98" i="12"/>
  <c r="F97" i="12"/>
  <c r="F96" i="12"/>
  <c r="F95" i="12"/>
  <c r="F94" i="12"/>
  <c r="F93" i="12"/>
  <c r="F92" i="12"/>
  <c r="F91" i="12"/>
  <c r="F90" i="12"/>
  <c r="F89" i="12"/>
  <c r="F88" i="12"/>
  <c r="F87" i="12"/>
  <c r="F86" i="12"/>
  <c r="F85" i="12"/>
  <c r="F84" i="12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C31" i="12"/>
  <c r="M12" i="4" s="1"/>
  <c r="X33" i="4" s="1"/>
  <c r="F9" i="3" s="1"/>
  <c r="F30" i="12"/>
  <c r="F29" i="12"/>
  <c r="F28" i="12"/>
  <c r="F27" i="12"/>
  <c r="Q26" i="12"/>
  <c r="AN71" i="4" s="1"/>
  <c r="H47" i="3" s="1"/>
  <c r="F26" i="12"/>
  <c r="P25" i="12"/>
  <c r="Q25" i="12" s="1"/>
  <c r="AN70" i="4" s="1"/>
  <c r="H46" i="3" s="1"/>
  <c r="F25" i="12"/>
  <c r="P24" i="12"/>
  <c r="Q24" i="12" s="1"/>
  <c r="AN69" i="4" s="1"/>
  <c r="H45" i="3" s="1"/>
  <c r="F24" i="12"/>
  <c r="P23" i="12"/>
  <c r="Q23" i="12" s="1"/>
  <c r="AN68" i="4" s="1"/>
  <c r="H44" i="3" s="1"/>
  <c r="F23" i="12"/>
  <c r="P22" i="12"/>
  <c r="Q22" i="12" s="1"/>
  <c r="AN67" i="4" s="1"/>
  <c r="H43" i="3" s="1"/>
  <c r="F22" i="12"/>
  <c r="C22" i="12"/>
  <c r="L12" i="4" s="1"/>
  <c r="W33" i="4" s="1"/>
  <c r="E9" i="3" s="1"/>
  <c r="P21" i="12"/>
  <c r="Q21" i="12" s="1"/>
  <c r="AN66" i="4" s="1"/>
  <c r="H42" i="3" s="1"/>
  <c r="F21" i="12"/>
  <c r="P20" i="12"/>
  <c r="Q20" i="12" s="1"/>
  <c r="AN65" i="4" s="1"/>
  <c r="H41" i="3" s="1"/>
  <c r="F20" i="12"/>
  <c r="P19" i="12"/>
  <c r="Q19" i="12" s="1"/>
  <c r="AN64" i="4" s="1"/>
  <c r="H40" i="3" s="1"/>
  <c r="F19" i="12"/>
  <c r="P18" i="12"/>
  <c r="Q18" i="12" s="1"/>
  <c r="AN63" i="4" s="1"/>
  <c r="H39" i="3" s="1"/>
  <c r="F18" i="12"/>
  <c r="P17" i="12"/>
  <c r="Q17" i="12" s="1"/>
  <c r="AN62" i="4" s="1"/>
  <c r="H38" i="3" s="1"/>
  <c r="F17" i="12"/>
  <c r="P16" i="12"/>
  <c r="Q16" i="12" s="1"/>
  <c r="AN61" i="4" s="1"/>
  <c r="H37" i="3" s="1"/>
  <c r="F16" i="12"/>
  <c r="P15" i="12"/>
  <c r="Q15" i="12" s="1"/>
  <c r="AN60" i="4" s="1"/>
  <c r="H36" i="3" s="1"/>
  <c r="F15" i="12"/>
  <c r="P14" i="12"/>
  <c r="Q14" i="12" s="1"/>
  <c r="AN59" i="4" s="1"/>
  <c r="H35" i="3" s="1"/>
  <c r="F14" i="12"/>
  <c r="P13" i="12"/>
  <c r="Q13" i="12" s="1"/>
  <c r="AN58" i="4" s="1"/>
  <c r="H34" i="3" s="1"/>
  <c r="F13" i="12"/>
  <c r="P12" i="12"/>
  <c r="Q12" i="12" s="1"/>
  <c r="AN57" i="4" s="1"/>
  <c r="H33" i="3" s="1"/>
  <c r="F12" i="12"/>
  <c r="P11" i="12"/>
  <c r="Q11" i="12" s="1"/>
  <c r="AN56" i="4" s="1"/>
  <c r="H32" i="3" s="1"/>
  <c r="F11" i="12"/>
  <c r="P10" i="12"/>
  <c r="Q10" i="12" s="1"/>
  <c r="AN55" i="4" s="1"/>
  <c r="H31" i="3" s="1"/>
  <c r="F10" i="12"/>
  <c r="F9" i="12"/>
  <c r="F8" i="12"/>
  <c r="F7" i="12"/>
  <c r="F6" i="12"/>
  <c r="L4" i="12"/>
  <c r="E12" i="4" s="1"/>
  <c r="V33" i="4" s="1"/>
  <c r="D9" i="3" s="1"/>
  <c r="G4" i="12"/>
  <c r="D12" i="4" s="1"/>
  <c r="U33" i="4" s="1"/>
  <c r="C9" i="3" s="1"/>
  <c r="C4" i="12"/>
  <c r="C12" i="4" s="1"/>
  <c r="T33" i="4" s="1"/>
  <c r="B9" i="3" s="1"/>
  <c r="F102" i="11"/>
  <c r="F101" i="11"/>
  <c r="F100" i="11"/>
  <c r="F99" i="11"/>
  <c r="F98" i="11"/>
  <c r="F97" i="11"/>
  <c r="F96" i="11"/>
  <c r="F95" i="11"/>
  <c r="F94" i="11"/>
  <c r="F93" i="11"/>
  <c r="F92" i="11"/>
  <c r="F91" i="11"/>
  <c r="F90" i="11"/>
  <c r="F89" i="11"/>
  <c r="F88" i="11"/>
  <c r="F87" i="11"/>
  <c r="F86" i="11"/>
  <c r="F85" i="11"/>
  <c r="F84" i="11"/>
  <c r="F83" i="11"/>
  <c r="F82" i="11"/>
  <c r="F81" i="11"/>
  <c r="F80" i="11"/>
  <c r="F79" i="11"/>
  <c r="F78" i="11"/>
  <c r="F77" i="11"/>
  <c r="F76" i="11"/>
  <c r="F75" i="11"/>
  <c r="F74" i="11"/>
  <c r="F73" i="11"/>
  <c r="F72" i="11"/>
  <c r="F71" i="11"/>
  <c r="F70" i="11"/>
  <c r="F69" i="11"/>
  <c r="F68" i="11"/>
  <c r="F67" i="11"/>
  <c r="F66" i="11"/>
  <c r="F65" i="11"/>
  <c r="F64" i="11"/>
  <c r="F63" i="11"/>
  <c r="F62" i="11"/>
  <c r="F61" i="11"/>
  <c r="F60" i="11"/>
  <c r="F59" i="11"/>
  <c r="F58" i="11"/>
  <c r="F57" i="11"/>
  <c r="F56" i="11"/>
  <c r="F55" i="11"/>
  <c r="F54" i="11"/>
  <c r="F53" i="11"/>
  <c r="F52" i="11"/>
  <c r="F51" i="11"/>
  <c r="F50" i="11"/>
  <c r="F49" i="11"/>
  <c r="F48" i="11"/>
  <c r="F47" i="11"/>
  <c r="F46" i="11"/>
  <c r="F45" i="11"/>
  <c r="F44" i="11"/>
  <c r="F43" i="11"/>
  <c r="F42" i="11"/>
  <c r="F41" i="11"/>
  <c r="F40" i="11"/>
  <c r="F39" i="11"/>
  <c r="F38" i="11"/>
  <c r="F37" i="11"/>
  <c r="F36" i="11"/>
  <c r="F35" i="11"/>
  <c r="F34" i="11"/>
  <c r="F33" i="11"/>
  <c r="F32" i="11"/>
  <c r="F31" i="11"/>
  <c r="C31" i="11"/>
  <c r="M11" i="4" s="1"/>
  <c r="X32" i="4" s="1"/>
  <c r="F8" i="3" s="1"/>
  <c r="F30" i="11"/>
  <c r="F29" i="11"/>
  <c r="F28" i="11"/>
  <c r="F27" i="11"/>
  <c r="Q26" i="11"/>
  <c r="AM71" i="4" s="1"/>
  <c r="G47" i="3" s="1"/>
  <c r="F26" i="11"/>
  <c r="P25" i="11"/>
  <c r="Q25" i="11" s="1"/>
  <c r="AM70" i="4" s="1"/>
  <c r="G46" i="3" s="1"/>
  <c r="F25" i="11"/>
  <c r="P24" i="11"/>
  <c r="Q24" i="11" s="1"/>
  <c r="AM69" i="4" s="1"/>
  <c r="G45" i="3" s="1"/>
  <c r="F24" i="11"/>
  <c r="P23" i="11"/>
  <c r="Q23" i="11" s="1"/>
  <c r="AM68" i="4" s="1"/>
  <c r="G44" i="3" s="1"/>
  <c r="F23" i="11"/>
  <c r="P22" i="11"/>
  <c r="Q22" i="11" s="1"/>
  <c r="AM67" i="4" s="1"/>
  <c r="G43" i="3" s="1"/>
  <c r="F22" i="11"/>
  <c r="C22" i="11"/>
  <c r="L11" i="4" s="1"/>
  <c r="W32" i="4" s="1"/>
  <c r="E8" i="3" s="1"/>
  <c r="P21" i="11"/>
  <c r="Q21" i="11" s="1"/>
  <c r="AM66" i="4" s="1"/>
  <c r="G42" i="3" s="1"/>
  <c r="F21" i="11"/>
  <c r="P20" i="11"/>
  <c r="Q20" i="11" s="1"/>
  <c r="AM65" i="4" s="1"/>
  <c r="G41" i="3" s="1"/>
  <c r="F20" i="11"/>
  <c r="P19" i="11"/>
  <c r="Q19" i="11" s="1"/>
  <c r="AM64" i="4" s="1"/>
  <c r="G40" i="3" s="1"/>
  <c r="F19" i="11"/>
  <c r="P18" i="11"/>
  <c r="Q18" i="11" s="1"/>
  <c r="AM63" i="4" s="1"/>
  <c r="G39" i="3" s="1"/>
  <c r="F18" i="11"/>
  <c r="P17" i="11"/>
  <c r="Q17" i="11" s="1"/>
  <c r="AM62" i="4" s="1"/>
  <c r="G38" i="3" s="1"/>
  <c r="F17" i="11"/>
  <c r="P16" i="11"/>
  <c r="Q16" i="11" s="1"/>
  <c r="AM61" i="4" s="1"/>
  <c r="G37" i="3" s="1"/>
  <c r="F16" i="11"/>
  <c r="P15" i="11"/>
  <c r="Q15" i="11" s="1"/>
  <c r="AM60" i="4" s="1"/>
  <c r="G36" i="3" s="1"/>
  <c r="F15" i="11"/>
  <c r="P14" i="11"/>
  <c r="Q14" i="11" s="1"/>
  <c r="AM59" i="4" s="1"/>
  <c r="G35" i="3" s="1"/>
  <c r="F14" i="11"/>
  <c r="P13" i="11"/>
  <c r="Q13" i="11" s="1"/>
  <c r="AM58" i="4" s="1"/>
  <c r="G34" i="3" s="1"/>
  <c r="F13" i="11"/>
  <c r="P12" i="11"/>
  <c r="Q12" i="11" s="1"/>
  <c r="AM57" i="4" s="1"/>
  <c r="G33" i="3" s="1"/>
  <c r="F12" i="11"/>
  <c r="P11" i="11"/>
  <c r="Q11" i="11" s="1"/>
  <c r="AM56" i="4" s="1"/>
  <c r="G32" i="3" s="1"/>
  <c r="F11" i="11"/>
  <c r="P10" i="11"/>
  <c r="Q10" i="11" s="1"/>
  <c r="AM55" i="4" s="1"/>
  <c r="G31" i="3" s="1"/>
  <c r="F10" i="11"/>
  <c r="F9" i="11"/>
  <c r="F8" i="11"/>
  <c r="F7" i="11"/>
  <c r="F6" i="11"/>
  <c r="L4" i="11"/>
  <c r="E11" i="4" s="1"/>
  <c r="V32" i="4" s="1"/>
  <c r="D8" i="3" s="1"/>
  <c r="G4" i="11"/>
  <c r="D11" i="4" s="1"/>
  <c r="C4" i="11"/>
  <c r="C11" i="4" s="1"/>
  <c r="F102" i="10"/>
  <c r="F101" i="10"/>
  <c r="F100" i="10"/>
  <c r="F99" i="10"/>
  <c r="F98" i="10"/>
  <c r="F97" i="10"/>
  <c r="F96" i="10"/>
  <c r="F95" i="10"/>
  <c r="F94" i="10"/>
  <c r="F93" i="10"/>
  <c r="F92" i="10"/>
  <c r="F91" i="10"/>
  <c r="F90" i="10"/>
  <c r="F89" i="10"/>
  <c r="F88" i="10"/>
  <c r="F87" i="10"/>
  <c r="F86" i="10"/>
  <c r="F85" i="10"/>
  <c r="F84" i="10"/>
  <c r="F83" i="10"/>
  <c r="F82" i="10"/>
  <c r="F81" i="10"/>
  <c r="F80" i="10"/>
  <c r="F79" i="10"/>
  <c r="F78" i="10"/>
  <c r="F77" i="10"/>
  <c r="F76" i="10"/>
  <c r="F75" i="10"/>
  <c r="F74" i="10"/>
  <c r="F73" i="10"/>
  <c r="F72" i="10"/>
  <c r="F71" i="10"/>
  <c r="F70" i="10"/>
  <c r="F69" i="10"/>
  <c r="F68" i="10"/>
  <c r="F67" i="10"/>
  <c r="F66" i="10"/>
  <c r="F65" i="10"/>
  <c r="F64" i="10"/>
  <c r="F63" i="10"/>
  <c r="F62" i="10"/>
  <c r="F61" i="10"/>
  <c r="F60" i="10"/>
  <c r="F59" i="10"/>
  <c r="F58" i="10"/>
  <c r="F57" i="10"/>
  <c r="F56" i="10"/>
  <c r="F55" i="10"/>
  <c r="F54" i="10"/>
  <c r="F53" i="10"/>
  <c r="F52" i="10"/>
  <c r="F51" i="10"/>
  <c r="F50" i="10"/>
  <c r="F49" i="10"/>
  <c r="F48" i="10"/>
  <c r="F47" i="10"/>
  <c r="F46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F33" i="10"/>
  <c r="F32" i="10"/>
  <c r="F31" i="10"/>
  <c r="C31" i="10"/>
  <c r="M10" i="4" s="1"/>
  <c r="X31" i="4" s="1"/>
  <c r="F7" i="3" s="1"/>
  <c r="F30" i="10"/>
  <c r="F29" i="10"/>
  <c r="F28" i="10"/>
  <c r="F27" i="10"/>
  <c r="Q26" i="10"/>
  <c r="AL71" i="4" s="1"/>
  <c r="F47" i="3" s="1"/>
  <c r="F26" i="10"/>
  <c r="P25" i="10"/>
  <c r="Q25" i="10" s="1"/>
  <c r="AL70" i="4" s="1"/>
  <c r="F46" i="3" s="1"/>
  <c r="F25" i="10"/>
  <c r="P24" i="10"/>
  <c r="Q24" i="10" s="1"/>
  <c r="AL69" i="4" s="1"/>
  <c r="F45" i="3" s="1"/>
  <c r="F24" i="10"/>
  <c r="P23" i="10"/>
  <c r="Q23" i="10" s="1"/>
  <c r="AL68" i="4" s="1"/>
  <c r="F44" i="3" s="1"/>
  <c r="F23" i="10"/>
  <c r="P22" i="10"/>
  <c r="Q22" i="10" s="1"/>
  <c r="AL67" i="4" s="1"/>
  <c r="F43" i="3" s="1"/>
  <c r="F22" i="10"/>
  <c r="C22" i="10"/>
  <c r="L10" i="4" s="1"/>
  <c r="W31" i="4" s="1"/>
  <c r="E7" i="3" s="1"/>
  <c r="P21" i="10"/>
  <c r="Q21" i="10" s="1"/>
  <c r="AL66" i="4" s="1"/>
  <c r="F42" i="3" s="1"/>
  <c r="F21" i="10"/>
  <c r="P20" i="10"/>
  <c r="Q20" i="10" s="1"/>
  <c r="AL65" i="4" s="1"/>
  <c r="F41" i="3" s="1"/>
  <c r="F20" i="10"/>
  <c r="P19" i="10"/>
  <c r="Q19" i="10" s="1"/>
  <c r="AL64" i="4" s="1"/>
  <c r="F40" i="3" s="1"/>
  <c r="F19" i="10"/>
  <c r="P18" i="10"/>
  <c r="Q18" i="10" s="1"/>
  <c r="AL63" i="4" s="1"/>
  <c r="F39" i="3" s="1"/>
  <c r="F18" i="10"/>
  <c r="P17" i="10"/>
  <c r="Q17" i="10" s="1"/>
  <c r="AL62" i="4" s="1"/>
  <c r="F38" i="3" s="1"/>
  <c r="F17" i="10"/>
  <c r="P16" i="10"/>
  <c r="Q16" i="10" s="1"/>
  <c r="AL61" i="4" s="1"/>
  <c r="F37" i="3" s="1"/>
  <c r="F16" i="10"/>
  <c r="P15" i="10"/>
  <c r="Q15" i="10" s="1"/>
  <c r="AL60" i="4" s="1"/>
  <c r="F36" i="3" s="1"/>
  <c r="F15" i="10"/>
  <c r="P14" i="10"/>
  <c r="Q14" i="10" s="1"/>
  <c r="AL59" i="4" s="1"/>
  <c r="F35" i="3" s="1"/>
  <c r="F14" i="10"/>
  <c r="P13" i="10"/>
  <c r="Q13" i="10" s="1"/>
  <c r="AL58" i="4" s="1"/>
  <c r="F34" i="3" s="1"/>
  <c r="F13" i="10"/>
  <c r="P12" i="10"/>
  <c r="Q12" i="10" s="1"/>
  <c r="AL57" i="4" s="1"/>
  <c r="F33" i="3" s="1"/>
  <c r="F12" i="10"/>
  <c r="P11" i="10"/>
  <c r="Q11" i="10" s="1"/>
  <c r="AL56" i="4" s="1"/>
  <c r="F32" i="3" s="1"/>
  <c r="F11" i="10"/>
  <c r="P10" i="10"/>
  <c r="Q10" i="10" s="1"/>
  <c r="AL55" i="4" s="1"/>
  <c r="F31" i="3" s="1"/>
  <c r="F10" i="10"/>
  <c r="F9" i="10"/>
  <c r="F8" i="10"/>
  <c r="F7" i="10"/>
  <c r="F6" i="10"/>
  <c r="L4" i="10"/>
  <c r="E10" i="4" s="1"/>
  <c r="V31" i="4" s="1"/>
  <c r="D7" i="3" s="1"/>
  <c r="G4" i="10"/>
  <c r="D10" i="4" s="1"/>
  <c r="U31" i="4" s="1"/>
  <c r="C7" i="3" s="1"/>
  <c r="C4" i="10"/>
  <c r="C10" i="4" s="1"/>
  <c r="F102" i="9"/>
  <c r="F101" i="9"/>
  <c r="F100" i="9"/>
  <c r="F99" i="9"/>
  <c r="F98" i="9"/>
  <c r="F97" i="9"/>
  <c r="F96" i="9"/>
  <c r="F95" i="9"/>
  <c r="F94" i="9"/>
  <c r="F93" i="9"/>
  <c r="F92" i="9"/>
  <c r="F91" i="9"/>
  <c r="F90" i="9"/>
  <c r="F89" i="9"/>
  <c r="F88" i="9"/>
  <c r="F87" i="9"/>
  <c r="F86" i="9"/>
  <c r="F85" i="9"/>
  <c r="F84" i="9"/>
  <c r="F83" i="9"/>
  <c r="F82" i="9"/>
  <c r="F81" i="9"/>
  <c r="F80" i="9"/>
  <c r="F79" i="9"/>
  <c r="F78" i="9"/>
  <c r="F77" i="9"/>
  <c r="F76" i="9"/>
  <c r="F75" i="9"/>
  <c r="F74" i="9"/>
  <c r="F73" i="9"/>
  <c r="F72" i="9"/>
  <c r="F71" i="9"/>
  <c r="F70" i="9"/>
  <c r="F69" i="9"/>
  <c r="F68" i="9"/>
  <c r="F67" i="9"/>
  <c r="F66" i="9"/>
  <c r="F65" i="9"/>
  <c r="F64" i="9"/>
  <c r="F63" i="9"/>
  <c r="F62" i="9"/>
  <c r="F61" i="9"/>
  <c r="F60" i="9"/>
  <c r="F59" i="9"/>
  <c r="F58" i="9"/>
  <c r="F57" i="9"/>
  <c r="F56" i="9"/>
  <c r="F55" i="9"/>
  <c r="F54" i="9"/>
  <c r="F53" i="9"/>
  <c r="F52" i="9"/>
  <c r="F51" i="9"/>
  <c r="F50" i="9"/>
  <c r="F49" i="9"/>
  <c r="F48" i="9"/>
  <c r="F47" i="9"/>
  <c r="F46" i="9"/>
  <c r="F45" i="9"/>
  <c r="F44" i="9"/>
  <c r="F43" i="9"/>
  <c r="F42" i="9"/>
  <c r="F41" i="9"/>
  <c r="F40" i="9"/>
  <c r="F39" i="9"/>
  <c r="F38" i="9"/>
  <c r="F37" i="9"/>
  <c r="F36" i="9"/>
  <c r="F35" i="9"/>
  <c r="F34" i="9"/>
  <c r="F33" i="9"/>
  <c r="F32" i="9"/>
  <c r="F31" i="9"/>
  <c r="C31" i="9"/>
  <c r="M9" i="4" s="1"/>
  <c r="F30" i="9"/>
  <c r="F29" i="9"/>
  <c r="F28" i="9"/>
  <c r="F27" i="9"/>
  <c r="Q26" i="9"/>
  <c r="AK71" i="4" s="1"/>
  <c r="E47" i="3" s="1"/>
  <c r="F26" i="9"/>
  <c r="P25" i="9"/>
  <c r="Q25" i="9" s="1"/>
  <c r="AK70" i="4" s="1"/>
  <c r="E46" i="3" s="1"/>
  <c r="F25" i="9"/>
  <c r="P24" i="9"/>
  <c r="Q24" i="9" s="1"/>
  <c r="AK69" i="4" s="1"/>
  <c r="E45" i="3" s="1"/>
  <c r="F24" i="9"/>
  <c r="P23" i="9"/>
  <c r="Q23" i="9" s="1"/>
  <c r="AK68" i="4" s="1"/>
  <c r="E44" i="3" s="1"/>
  <c r="F23" i="9"/>
  <c r="P22" i="9"/>
  <c r="Q22" i="9" s="1"/>
  <c r="AK67" i="4" s="1"/>
  <c r="E43" i="3" s="1"/>
  <c r="F22" i="9"/>
  <c r="C22" i="9"/>
  <c r="L9" i="4" s="1"/>
  <c r="W30" i="4" s="1"/>
  <c r="E6" i="3" s="1"/>
  <c r="P21" i="9"/>
  <c r="Q21" i="9" s="1"/>
  <c r="AK66" i="4" s="1"/>
  <c r="E42" i="3" s="1"/>
  <c r="F21" i="9"/>
  <c r="P20" i="9"/>
  <c r="Q20" i="9" s="1"/>
  <c r="AK65" i="4" s="1"/>
  <c r="E41" i="3" s="1"/>
  <c r="F20" i="9"/>
  <c r="P19" i="9"/>
  <c r="Q19" i="9" s="1"/>
  <c r="AK64" i="4" s="1"/>
  <c r="E40" i="3" s="1"/>
  <c r="F19" i="9"/>
  <c r="P18" i="9"/>
  <c r="Q18" i="9" s="1"/>
  <c r="AK63" i="4" s="1"/>
  <c r="E39" i="3" s="1"/>
  <c r="F18" i="9"/>
  <c r="P17" i="9"/>
  <c r="Q17" i="9" s="1"/>
  <c r="AK62" i="4" s="1"/>
  <c r="E38" i="3" s="1"/>
  <c r="F17" i="9"/>
  <c r="P16" i="9"/>
  <c r="Q16" i="9" s="1"/>
  <c r="AK61" i="4" s="1"/>
  <c r="E37" i="3" s="1"/>
  <c r="F16" i="9"/>
  <c r="P15" i="9"/>
  <c r="Q15" i="9" s="1"/>
  <c r="AK60" i="4" s="1"/>
  <c r="E36" i="3" s="1"/>
  <c r="F15" i="9"/>
  <c r="P14" i="9"/>
  <c r="Q14" i="9" s="1"/>
  <c r="AK59" i="4" s="1"/>
  <c r="E35" i="3" s="1"/>
  <c r="F14" i="9"/>
  <c r="P13" i="9"/>
  <c r="Q13" i="9" s="1"/>
  <c r="AK58" i="4" s="1"/>
  <c r="E34" i="3" s="1"/>
  <c r="F13" i="9"/>
  <c r="P12" i="9"/>
  <c r="Q12" i="9" s="1"/>
  <c r="AK57" i="4" s="1"/>
  <c r="E33" i="3" s="1"/>
  <c r="F12" i="9"/>
  <c r="P11" i="9"/>
  <c r="Q11" i="9" s="1"/>
  <c r="AK56" i="4" s="1"/>
  <c r="E32" i="3" s="1"/>
  <c r="F11" i="9"/>
  <c r="P10" i="9"/>
  <c r="Q10" i="9" s="1"/>
  <c r="AK55" i="4" s="1"/>
  <c r="E31" i="3" s="1"/>
  <c r="F10" i="9"/>
  <c r="F9" i="9"/>
  <c r="F8" i="9"/>
  <c r="F7" i="9"/>
  <c r="F6" i="9"/>
  <c r="L4" i="9"/>
  <c r="E9" i="4" s="1"/>
  <c r="G4" i="9"/>
  <c r="D9" i="4" s="1"/>
  <c r="C4" i="9"/>
  <c r="C9" i="4" s="1"/>
  <c r="T30" i="4" s="1"/>
  <c r="B6" i="3" s="1"/>
  <c r="F102" i="8"/>
  <c r="F101" i="8"/>
  <c r="F100" i="8"/>
  <c r="F99" i="8"/>
  <c r="F98" i="8"/>
  <c r="F97" i="8"/>
  <c r="F96" i="8"/>
  <c r="F95" i="8"/>
  <c r="F94" i="8"/>
  <c r="F93" i="8"/>
  <c r="F92" i="8"/>
  <c r="F91" i="8"/>
  <c r="F90" i="8"/>
  <c r="F89" i="8"/>
  <c r="F88" i="8"/>
  <c r="F87" i="8"/>
  <c r="F86" i="8"/>
  <c r="F85" i="8"/>
  <c r="F84" i="8"/>
  <c r="F83" i="8"/>
  <c r="F82" i="8"/>
  <c r="F81" i="8"/>
  <c r="F80" i="8"/>
  <c r="F79" i="8"/>
  <c r="F78" i="8"/>
  <c r="F77" i="8"/>
  <c r="F76" i="8"/>
  <c r="F75" i="8"/>
  <c r="F74" i="8"/>
  <c r="F73" i="8"/>
  <c r="F72" i="8"/>
  <c r="F71" i="8"/>
  <c r="F70" i="8"/>
  <c r="F69" i="8"/>
  <c r="F68" i="8"/>
  <c r="F67" i="8"/>
  <c r="F66" i="8"/>
  <c r="F65" i="8"/>
  <c r="F64" i="8"/>
  <c r="F63" i="8"/>
  <c r="F62" i="8"/>
  <c r="F61" i="8"/>
  <c r="F60" i="8"/>
  <c r="F59" i="8"/>
  <c r="F58" i="8"/>
  <c r="F57" i="8"/>
  <c r="F56" i="8"/>
  <c r="F55" i="8"/>
  <c r="F54" i="8"/>
  <c r="F53" i="8"/>
  <c r="F52" i="8"/>
  <c r="F51" i="8"/>
  <c r="F50" i="8"/>
  <c r="F49" i="8"/>
  <c r="F48" i="8"/>
  <c r="F47" i="8"/>
  <c r="F46" i="8"/>
  <c r="F45" i="8"/>
  <c r="F44" i="8"/>
  <c r="F43" i="8"/>
  <c r="F42" i="8"/>
  <c r="F41" i="8"/>
  <c r="F40" i="8"/>
  <c r="F39" i="8"/>
  <c r="F38" i="8"/>
  <c r="F37" i="8"/>
  <c r="F36" i="8"/>
  <c r="F35" i="8"/>
  <c r="F34" i="8"/>
  <c r="F33" i="8"/>
  <c r="F32" i="8"/>
  <c r="F31" i="8"/>
  <c r="C31" i="8"/>
  <c r="M8" i="4" s="1"/>
  <c r="F30" i="8"/>
  <c r="F29" i="8"/>
  <c r="F28" i="8"/>
  <c r="F27" i="8"/>
  <c r="Q26" i="8"/>
  <c r="AJ71" i="4" s="1"/>
  <c r="D47" i="3" s="1"/>
  <c r="F26" i="8"/>
  <c r="P25" i="8"/>
  <c r="Q25" i="8" s="1"/>
  <c r="AJ70" i="4" s="1"/>
  <c r="D46" i="3" s="1"/>
  <c r="F25" i="8"/>
  <c r="P24" i="8"/>
  <c r="Q24" i="8" s="1"/>
  <c r="AJ69" i="4" s="1"/>
  <c r="D45" i="3" s="1"/>
  <c r="F24" i="8"/>
  <c r="P23" i="8"/>
  <c r="Q23" i="8" s="1"/>
  <c r="AJ68" i="4" s="1"/>
  <c r="D44" i="3" s="1"/>
  <c r="F23" i="8"/>
  <c r="P22" i="8"/>
  <c r="Q22" i="8" s="1"/>
  <c r="AJ67" i="4" s="1"/>
  <c r="D43" i="3" s="1"/>
  <c r="F22" i="8"/>
  <c r="C22" i="8"/>
  <c r="L8" i="4" s="1"/>
  <c r="W29" i="4" s="1"/>
  <c r="E5" i="3" s="1"/>
  <c r="P21" i="8"/>
  <c r="Q21" i="8" s="1"/>
  <c r="AJ66" i="4" s="1"/>
  <c r="D42" i="3" s="1"/>
  <c r="F21" i="8"/>
  <c r="P20" i="8"/>
  <c r="Q20" i="8" s="1"/>
  <c r="AJ65" i="4" s="1"/>
  <c r="D41" i="3" s="1"/>
  <c r="F20" i="8"/>
  <c r="P19" i="8"/>
  <c r="Q19" i="8" s="1"/>
  <c r="AJ64" i="4" s="1"/>
  <c r="D40" i="3" s="1"/>
  <c r="F19" i="8"/>
  <c r="P18" i="8"/>
  <c r="Q18" i="8" s="1"/>
  <c r="AJ63" i="4" s="1"/>
  <c r="D39" i="3" s="1"/>
  <c r="F18" i="8"/>
  <c r="P17" i="8"/>
  <c r="Q17" i="8" s="1"/>
  <c r="AJ62" i="4" s="1"/>
  <c r="D38" i="3" s="1"/>
  <c r="F17" i="8"/>
  <c r="P16" i="8"/>
  <c r="Q16" i="8" s="1"/>
  <c r="AJ61" i="4" s="1"/>
  <c r="D37" i="3" s="1"/>
  <c r="F16" i="8"/>
  <c r="P15" i="8"/>
  <c r="Q15" i="8" s="1"/>
  <c r="AJ60" i="4" s="1"/>
  <c r="D36" i="3" s="1"/>
  <c r="F15" i="8"/>
  <c r="P14" i="8"/>
  <c r="Q14" i="8" s="1"/>
  <c r="AJ59" i="4" s="1"/>
  <c r="D35" i="3" s="1"/>
  <c r="F14" i="8"/>
  <c r="P13" i="8"/>
  <c r="Q13" i="8" s="1"/>
  <c r="AJ58" i="4" s="1"/>
  <c r="D34" i="3" s="1"/>
  <c r="F13" i="8"/>
  <c r="P12" i="8"/>
  <c r="Q12" i="8" s="1"/>
  <c r="AJ57" i="4" s="1"/>
  <c r="D33" i="3" s="1"/>
  <c r="F12" i="8"/>
  <c r="P11" i="8"/>
  <c r="Q11" i="8" s="1"/>
  <c r="AJ56" i="4" s="1"/>
  <c r="D32" i="3" s="1"/>
  <c r="F11" i="8"/>
  <c r="P10" i="8"/>
  <c r="Q10" i="8" s="1"/>
  <c r="AJ55" i="4" s="1"/>
  <c r="D31" i="3" s="1"/>
  <c r="F10" i="8"/>
  <c r="F9" i="8"/>
  <c r="F8" i="8"/>
  <c r="F7" i="8"/>
  <c r="F6" i="8"/>
  <c r="L4" i="8"/>
  <c r="E8" i="4" s="1"/>
  <c r="G4" i="8"/>
  <c r="D8" i="4" s="1"/>
  <c r="U29" i="4" s="1"/>
  <c r="C5" i="3" s="1"/>
  <c r="C4" i="8"/>
  <c r="C8" i="4" s="1"/>
  <c r="C22" i="6"/>
  <c r="L6" i="4" s="1"/>
  <c r="W27" i="4" s="1"/>
  <c r="E3" i="3" s="1"/>
  <c r="C22" i="7"/>
  <c r="L7" i="4" s="1"/>
  <c r="W28" i="4" s="1"/>
  <c r="E4" i="3" s="1"/>
  <c r="F102" i="7"/>
  <c r="F101" i="7"/>
  <c r="F100" i="7"/>
  <c r="F99" i="7"/>
  <c r="F98" i="7"/>
  <c r="F97" i="7"/>
  <c r="F96" i="7"/>
  <c r="F95" i="7"/>
  <c r="F94" i="7"/>
  <c r="F93" i="7"/>
  <c r="F92" i="7"/>
  <c r="F91" i="7"/>
  <c r="F90" i="7"/>
  <c r="F89" i="7"/>
  <c r="F88" i="7"/>
  <c r="F87" i="7"/>
  <c r="F86" i="7"/>
  <c r="F85" i="7"/>
  <c r="F84" i="7"/>
  <c r="F83" i="7"/>
  <c r="F82" i="7"/>
  <c r="F81" i="7"/>
  <c r="F80" i="7"/>
  <c r="F79" i="7"/>
  <c r="F78" i="7"/>
  <c r="F77" i="7"/>
  <c r="F76" i="7"/>
  <c r="F75" i="7"/>
  <c r="F74" i="7"/>
  <c r="F73" i="7"/>
  <c r="F72" i="7"/>
  <c r="F71" i="7"/>
  <c r="F70" i="7"/>
  <c r="F69" i="7"/>
  <c r="F68" i="7"/>
  <c r="F67" i="7"/>
  <c r="F66" i="7"/>
  <c r="F65" i="7"/>
  <c r="F64" i="7"/>
  <c r="F63" i="7"/>
  <c r="F62" i="7"/>
  <c r="F61" i="7"/>
  <c r="F60" i="7"/>
  <c r="F59" i="7"/>
  <c r="F58" i="7"/>
  <c r="F57" i="7"/>
  <c r="F56" i="7"/>
  <c r="F55" i="7"/>
  <c r="F54" i="7"/>
  <c r="F53" i="7"/>
  <c r="F52" i="7"/>
  <c r="F51" i="7"/>
  <c r="F50" i="7"/>
  <c r="F49" i="7"/>
  <c r="F48" i="7"/>
  <c r="F47" i="7"/>
  <c r="F46" i="7"/>
  <c r="F45" i="7"/>
  <c r="F44" i="7"/>
  <c r="F43" i="7"/>
  <c r="F42" i="7"/>
  <c r="F41" i="7"/>
  <c r="F40" i="7"/>
  <c r="F39" i="7"/>
  <c r="F38" i="7"/>
  <c r="F37" i="7"/>
  <c r="F36" i="7"/>
  <c r="F35" i="7"/>
  <c r="F34" i="7"/>
  <c r="F33" i="7"/>
  <c r="F32" i="7"/>
  <c r="F31" i="7"/>
  <c r="C31" i="7"/>
  <c r="M7" i="4" s="1"/>
  <c r="F30" i="7"/>
  <c r="F29" i="7"/>
  <c r="F28" i="7"/>
  <c r="F27" i="7"/>
  <c r="Q26" i="7"/>
  <c r="AI71" i="4" s="1"/>
  <c r="C47" i="3" s="1"/>
  <c r="F26" i="7"/>
  <c r="P25" i="7"/>
  <c r="Q25" i="7" s="1"/>
  <c r="AI70" i="4" s="1"/>
  <c r="C46" i="3" s="1"/>
  <c r="F25" i="7"/>
  <c r="P24" i="7"/>
  <c r="Q24" i="7" s="1"/>
  <c r="AI69" i="4" s="1"/>
  <c r="C45" i="3" s="1"/>
  <c r="F24" i="7"/>
  <c r="P23" i="7"/>
  <c r="Q23" i="7" s="1"/>
  <c r="AI68" i="4" s="1"/>
  <c r="C44" i="3" s="1"/>
  <c r="F23" i="7"/>
  <c r="P22" i="7"/>
  <c r="Q22" i="7" s="1"/>
  <c r="AI67" i="4" s="1"/>
  <c r="C43" i="3" s="1"/>
  <c r="F22" i="7"/>
  <c r="P21" i="7"/>
  <c r="Q21" i="7" s="1"/>
  <c r="AI66" i="4" s="1"/>
  <c r="C42" i="3" s="1"/>
  <c r="F21" i="7"/>
  <c r="P20" i="7"/>
  <c r="Q20" i="7" s="1"/>
  <c r="AI65" i="4" s="1"/>
  <c r="C41" i="3" s="1"/>
  <c r="F20" i="7"/>
  <c r="P19" i="7"/>
  <c r="Q19" i="7" s="1"/>
  <c r="AI64" i="4" s="1"/>
  <c r="C40" i="3" s="1"/>
  <c r="F19" i="7"/>
  <c r="P18" i="7"/>
  <c r="Q18" i="7" s="1"/>
  <c r="AI63" i="4" s="1"/>
  <c r="C39" i="3" s="1"/>
  <c r="F18" i="7"/>
  <c r="P17" i="7"/>
  <c r="Q17" i="7" s="1"/>
  <c r="AI62" i="4" s="1"/>
  <c r="C38" i="3" s="1"/>
  <c r="F17" i="7"/>
  <c r="P16" i="7"/>
  <c r="Q16" i="7" s="1"/>
  <c r="AI61" i="4" s="1"/>
  <c r="C37" i="3" s="1"/>
  <c r="F16" i="7"/>
  <c r="P15" i="7"/>
  <c r="Q15" i="7" s="1"/>
  <c r="AI60" i="4" s="1"/>
  <c r="C36" i="3" s="1"/>
  <c r="F15" i="7"/>
  <c r="P14" i="7"/>
  <c r="Q14" i="7" s="1"/>
  <c r="AI59" i="4" s="1"/>
  <c r="C35" i="3" s="1"/>
  <c r="F14" i="7"/>
  <c r="P13" i="7"/>
  <c r="Q13" i="7" s="1"/>
  <c r="AI58" i="4" s="1"/>
  <c r="C34" i="3" s="1"/>
  <c r="F13" i="7"/>
  <c r="P12" i="7"/>
  <c r="Q12" i="7" s="1"/>
  <c r="AI57" i="4" s="1"/>
  <c r="C33" i="3" s="1"/>
  <c r="F12" i="7"/>
  <c r="P11" i="7"/>
  <c r="Q11" i="7" s="1"/>
  <c r="AI56" i="4" s="1"/>
  <c r="C32" i="3" s="1"/>
  <c r="F11" i="7"/>
  <c r="P10" i="7"/>
  <c r="Q10" i="7" s="1"/>
  <c r="AI55" i="4" s="1"/>
  <c r="C31" i="3" s="1"/>
  <c r="F10" i="7"/>
  <c r="F9" i="7"/>
  <c r="F8" i="7"/>
  <c r="F7" i="7"/>
  <c r="F6" i="7"/>
  <c r="L4" i="7"/>
  <c r="E7" i="4" s="1"/>
  <c r="V28" i="4" s="1"/>
  <c r="D4" i="3" s="1"/>
  <c r="G4" i="7"/>
  <c r="D7" i="4" s="1"/>
  <c r="C4" i="7"/>
  <c r="C7" i="4" s="1"/>
  <c r="Y6" i="4"/>
  <c r="P11" i="6"/>
  <c r="Q11" i="6" s="1"/>
  <c r="AH56" i="4" s="1"/>
  <c r="B32" i="3" s="1"/>
  <c r="P12" i="6"/>
  <c r="Q12" i="6" s="1"/>
  <c r="AH57" i="4" s="1"/>
  <c r="B33" i="3" s="1"/>
  <c r="P13" i="6"/>
  <c r="Q13" i="6" s="1"/>
  <c r="AH58" i="4" s="1"/>
  <c r="B34" i="3" s="1"/>
  <c r="P14" i="6"/>
  <c r="Q14" i="6" s="1"/>
  <c r="AH59" i="4" s="1"/>
  <c r="B35" i="3" s="1"/>
  <c r="P15" i="6"/>
  <c r="Q15" i="6" s="1"/>
  <c r="AH60" i="4" s="1"/>
  <c r="B36" i="3" s="1"/>
  <c r="P16" i="6"/>
  <c r="Q16" i="6" s="1"/>
  <c r="AH61" i="4" s="1"/>
  <c r="B37" i="3" s="1"/>
  <c r="P17" i="6"/>
  <c r="Q17" i="6" s="1"/>
  <c r="AH62" i="4" s="1"/>
  <c r="B38" i="3" s="1"/>
  <c r="P18" i="6"/>
  <c r="Q18" i="6" s="1"/>
  <c r="AH63" i="4" s="1"/>
  <c r="B39" i="3" s="1"/>
  <c r="P19" i="6"/>
  <c r="Q19" i="6" s="1"/>
  <c r="AH64" i="4" s="1"/>
  <c r="B40" i="3" s="1"/>
  <c r="P20" i="6"/>
  <c r="Q20" i="6" s="1"/>
  <c r="AH65" i="4" s="1"/>
  <c r="B41" i="3" s="1"/>
  <c r="P21" i="6"/>
  <c r="Q21" i="6" s="1"/>
  <c r="AH66" i="4" s="1"/>
  <c r="B42" i="3" s="1"/>
  <c r="P22" i="6"/>
  <c r="Q22" i="6" s="1"/>
  <c r="AH67" i="4" s="1"/>
  <c r="B43" i="3" s="1"/>
  <c r="P23" i="6"/>
  <c r="Q23" i="6" s="1"/>
  <c r="AH68" i="4" s="1"/>
  <c r="B44" i="3" s="1"/>
  <c r="P24" i="6"/>
  <c r="Q24" i="6" s="1"/>
  <c r="AH69" i="4" s="1"/>
  <c r="B45" i="3" s="1"/>
  <c r="P25" i="6"/>
  <c r="Q25" i="6" s="1"/>
  <c r="AH70" i="4" s="1"/>
  <c r="B46" i="3" s="1"/>
  <c r="AH71" i="4"/>
  <c r="B47" i="3" s="1"/>
  <c r="P10" i="6"/>
  <c r="Q10" i="6" s="1"/>
  <c r="AH55" i="4" s="1"/>
  <c r="B31" i="3" s="1"/>
  <c r="F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38" i="6"/>
  <c r="F39" i="6"/>
  <c r="F40" i="6"/>
  <c r="F41" i="6"/>
  <c r="F42" i="6"/>
  <c r="F43" i="6"/>
  <c r="F44" i="6"/>
  <c r="F45" i="6"/>
  <c r="F46" i="6"/>
  <c r="F47" i="6"/>
  <c r="F48" i="6"/>
  <c r="F49" i="6"/>
  <c r="F50" i="6"/>
  <c r="F51" i="6"/>
  <c r="F52" i="6"/>
  <c r="F53" i="6"/>
  <c r="F54" i="6"/>
  <c r="F55" i="6"/>
  <c r="F56" i="6"/>
  <c r="F57" i="6"/>
  <c r="F58" i="6"/>
  <c r="F59" i="6"/>
  <c r="F60" i="6"/>
  <c r="F61" i="6"/>
  <c r="F62" i="6"/>
  <c r="F63" i="6"/>
  <c r="F64" i="6"/>
  <c r="F65" i="6"/>
  <c r="F66" i="6"/>
  <c r="F67" i="6"/>
  <c r="F68" i="6"/>
  <c r="F69" i="6"/>
  <c r="F70" i="6"/>
  <c r="F71" i="6"/>
  <c r="F72" i="6"/>
  <c r="F73" i="6"/>
  <c r="F74" i="6"/>
  <c r="F75" i="6"/>
  <c r="F76" i="6"/>
  <c r="F77" i="6"/>
  <c r="F78" i="6"/>
  <c r="F79" i="6"/>
  <c r="F80" i="6"/>
  <c r="F81" i="6"/>
  <c r="F82" i="6"/>
  <c r="F83" i="6"/>
  <c r="F84" i="6"/>
  <c r="F85" i="6"/>
  <c r="F86" i="6"/>
  <c r="F87" i="6"/>
  <c r="F88" i="6"/>
  <c r="F89" i="6"/>
  <c r="F90" i="6"/>
  <c r="F91" i="6"/>
  <c r="F92" i="6"/>
  <c r="F93" i="6"/>
  <c r="F94" i="6"/>
  <c r="F95" i="6"/>
  <c r="F96" i="6"/>
  <c r="F97" i="6"/>
  <c r="F98" i="6"/>
  <c r="F99" i="6"/>
  <c r="F100" i="6"/>
  <c r="F101" i="6"/>
  <c r="F102" i="6"/>
  <c r="F6" i="6"/>
  <c r="C31" i="6"/>
  <c r="M6" i="4" s="1"/>
  <c r="X27" i="4" s="1"/>
  <c r="F3" i="3" s="1"/>
  <c r="L4" i="6"/>
  <c r="E6" i="4" s="1"/>
  <c r="V27" i="4" s="1"/>
  <c r="D3" i="3" s="1"/>
  <c r="G4" i="6"/>
  <c r="D6" i="4" s="1"/>
  <c r="C4" i="6"/>
  <c r="C6" i="4" s="1"/>
  <c r="T27" i="4" s="1"/>
  <c r="B3" i="3" s="1"/>
  <c r="E48" i="4"/>
  <c r="F47" i="4"/>
  <c r="E47" i="4"/>
  <c r="E46" i="4"/>
  <c r="E45" i="4"/>
  <c r="E44" i="4"/>
  <c r="AB43" i="4" a="1"/>
  <c r="AB43" i="4" s="1"/>
  <c r="J19" i="3" s="1"/>
  <c r="AE42" i="4" a="1"/>
  <c r="AE42" i="4" s="1"/>
  <c r="M18" i="3" s="1"/>
  <c r="I36" i="4"/>
  <c r="I37" i="4" s="1"/>
  <c r="G36" i="4"/>
  <c r="A36" i="4"/>
  <c r="AE51" i="4" a="1"/>
  <c r="AE51" i="4" s="1"/>
  <c r="M27" i="3" s="1"/>
  <c r="AE50" i="4" a="1"/>
  <c r="AE50" i="4" s="1"/>
  <c r="M26" i="3" s="1"/>
  <c r="AE49" i="4" a="1"/>
  <c r="AE49" i="4" s="1"/>
  <c r="M25" i="3" s="1"/>
  <c r="AE48" i="4" a="1"/>
  <c r="AE48" i="4" s="1"/>
  <c r="M24" i="3" s="1"/>
  <c r="AE47" i="4" a="1"/>
  <c r="AE47" i="4" s="1"/>
  <c r="M23" i="3" s="1"/>
  <c r="AE46" i="4" a="1"/>
  <c r="AE46" i="4" s="1"/>
  <c r="M22" i="3" s="1"/>
  <c r="AE45" i="4" a="1"/>
  <c r="AE45" i="4" s="1"/>
  <c r="M21" i="3" s="1"/>
  <c r="AE44" i="4" a="1"/>
  <c r="AE44" i="4" s="1"/>
  <c r="M20" i="3" s="1"/>
  <c r="AE43" i="4" a="1"/>
  <c r="AE43" i="4" s="1"/>
  <c r="M19" i="3" s="1"/>
  <c r="X38" i="4"/>
  <c r="F14" i="3" s="1"/>
  <c r="W38" i="4"/>
  <c r="E14" i="3" s="1"/>
  <c r="V38" i="4"/>
  <c r="D14" i="3" s="1"/>
  <c r="U38" i="4"/>
  <c r="C14" i="3" s="1"/>
  <c r="T38" i="4"/>
  <c r="B14" i="3" s="1"/>
  <c r="AD51" i="4" a="1"/>
  <c r="AD51" i="4" s="1"/>
  <c r="L27" i="3" s="1"/>
  <c r="AD50" i="4" a="1"/>
  <c r="AD50" i="4" s="1"/>
  <c r="L26" i="3" s="1"/>
  <c r="AD49" i="4" a="1"/>
  <c r="AD49" i="4" s="1"/>
  <c r="L25" i="3" s="1"/>
  <c r="AD48" i="4" a="1"/>
  <c r="AD48" i="4" s="1"/>
  <c r="L24" i="3" s="1"/>
  <c r="AD47" i="4" a="1"/>
  <c r="AD47" i="4" s="1"/>
  <c r="L23" i="3" s="1"/>
  <c r="AD46" i="4" a="1"/>
  <c r="AD46" i="4" s="1"/>
  <c r="L22" i="3" s="1"/>
  <c r="AD45" i="4" a="1"/>
  <c r="AD45" i="4" s="1"/>
  <c r="L21" i="3" s="1"/>
  <c r="AD44" i="4" a="1"/>
  <c r="AD44" i="4" s="1"/>
  <c r="L20" i="3" s="1"/>
  <c r="AD43" i="4" a="1"/>
  <c r="AD43" i="4" s="1"/>
  <c r="L19" i="3" s="1"/>
  <c r="AD42" i="4" a="1"/>
  <c r="AD42" i="4" s="1"/>
  <c r="L18" i="3" s="1"/>
  <c r="X37" i="4"/>
  <c r="F13" i="3" s="1"/>
  <c r="AC51" i="4" a="1"/>
  <c r="AC51" i="4" s="1"/>
  <c r="K27" i="3" s="1"/>
  <c r="AC50" i="4" a="1"/>
  <c r="AC50" i="4" s="1"/>
  <c r="K26" i="3" s="1"/>
  <c r="AC49" i="4" a="1"/>
  <c r="AC49" i="4" s="1"/>
  <c r="K25" i="3" s="1"/>
  <c r="AC48" i="4" a="1"/>
  <c r="AC48" i="4" s="1"/>
  <c r="K24" i="3" s="1"/>
  <c r="AC47" i="4" a="1"/>
  <c r="AC47" i="4" s="1"/>
  <c r="K23" i="3" s="1"/>
  <c r="AC46" i="4" a="1"/>
  <c r="AC46" i="4" s="1"/>
  <c r="K22" i="3" s="1"/>
  <c r="AC45" i="4" a="1"/>
  <c r="AC45" i="4" s="1"/>
  <c r="K21" i="3" s="1"/>
  <c r="AC44" i="4" a="1"/>
  <c r="AC44" i="4" s="1"/>
  <c r="K20" i="3" s="1"/>
  <c r="AC43" i="4" a="1"/>
  <c r="AC43" i="4" s="1"/>
  <c r="K19" i="3" s="1"/>
  <c r="AC42" i="4" a="1"/>
  <c r="AC42" i="4" s="1"/>
  <c r="K18" i="3" s="1"/>
  <c r="V36" i="4"/>
  <c r="D12" i="3" s="1"/>
  <c r="U36" i="4"/>
  <c r="C12" i="3" s="1"/>
  <c r="AB51" i="4" a="1"/>
  <c r="AB51" i="4" s="1"/>
  <c r="J27" i="3" s="1"/>
  <c r="AB50" i="4" a="1"/>
  <c r="AB50" i="4" s="1"/>
  <c r="J26" i="3" s="1"/>
  <c r="AB49" i="4" a="1"/>
  <c r="AB49" i="4" s="1"/>
  <c r="J25" i="3" s="1"/>
  <c r="AB48" i="4" a="1"/>
  <c r="AB48" i="4" s="1"/>
  <c r="J24" i="3" s="1"/>
  <c r="AB47" i="4" a="1"/>
  <c r="AB47" i="4" s="1"/>
  <c r="J23" i="3" s="1"/>
  <c r="AB46" i="4" a="1"/>
  <c r="AB46" i="4" s="1"/>
  <c r="J22" i="3" s="1"/>
  <c r="AB45" i="4" a="1"/>
  <c r="AB45" i="4" s="1"/>
  <c r="J21" i="3" s="1"/>
  <c r="AB44" i="4" a="1"/>
  <c r="AB44" i="4" s="1"/>
  <c r="J20" i="3" s="1"/>
  <c r="AB42" i="4" a="1"/>
  <c r="AB42" i="4" s="1"/>
  <c r="J18" i="3" s="1"/>
  <c r="AA51" i="4" a="1"/>
  <c r="AA51" i="4" s="1"/>
  <c r="I27" i="3" s="1"/>
  <c r="AA50" i="4" a="1"/>
  <c r="AA50" i="4" s="1"/>
  <c r="I26" i="3" s="1"/>
  <c r="AA49" i="4" a="1"/>
  <c r="AA49" i="4" s="1"/>
  <c r="I25" i="3" s="1"/>
  <c r="AA48" i="4" a="1"/>
  <c r="AA48" i="4" s="1"/>
  <c r="I24" i="3" s="1"/>
  <c r="AA47" i="4" a="1"/>
  <c r="AA47" i="4" s="1"/>
  <c r="I23" i="3" s="1"/>
  <c r="AA46" i="4" a="1"/>
  <c r="AA46" i="4" s="1"/>
  <c r="I22" i="3" s="1"/>
  <c r="AA45" i="4" a="1"/>
  <c r="AA45" i="4" s="1"/>
  <c r="I21" i="3" s="1"/>
  <c r="AA44" i="4" a="1"/>
  <c r="AA44" i="4" s="1"/>
  <c r="I20" i="3" s="1"/>
  <c r="AA43" i="4" a="1"/>
  <c r="AA43" i="4" s="1"/>
  <c r="I19" i="3" s="1"/>
  <c r="AA42" i="4" a="1"/>
  <c r="AA42" i="4" s="1"/>
  <c r="I18" i="3" s="1"/>
  <c r="W34" i="4"/>
  <c r="E10" i="3" s="1"/>
  <c r="Z51" i="4" a="1"/>
  <c r="Z51" i="4" s="1"/>
  <c r="H27" i="3" s="1"/>
  <c r="Z50" i="4" a="1"/>
  <c r="Z50" i="4" s="1"/>
  <c r="H26" i="3" s="1"/>
  <c r="Z49" i="4" a="1"/>
  <c r="Z49" i="4" s="1"/>
  <c r="H25" i="3" s="1"/>
  <c r="Z48" i="4" a="1"/>
  <c r="Z48" i="4" s="1"/>
  <c r="H24" i="3" s="1"/>
  <c r="Z47" i="4" a="1"/>
  <c r="Z47" i="4" s="1"/>
  <c r="H23" i="3" s="1"/>
  <c r="Z46" i="4" a="1"/>
  <c r="Z46" i="4" s="1"/>
  <c r="H22" i="3" s="1"/>
  <c r="Z45" i="4" a="1"/>
  <c r="Z45" i="4" s="1"/>
  <c r="H21" i="3" s="1"/>
  <c r="Z44" i="4" a="1"/>
  <c r="Z44" i="4" s="1"/>
  <c r="H20" i="3" s="1"/>
  <c r="Z43" i="4" a="1"/>
  <c r="Z43" i="4" s="1"/>
  <c r="H19" i="3" s="1"/>
  <c r="Z42" i="4" a="1"/>
  <c r="Z42" i="4" s="1"/>
  <c r="H18" i="3" s="1"/>
  <c r="Y51" i="4" a="1"/>
  <c r="Y51" i="4" s="1"/>
  <c r="G27" i="3" s="1"/>
  <c r="Y50" i="4" a="1"/>
  <c r="Y50" i="4" s="1"/>
  <c r="G26" i="3" s="1"/>
  <c r="Y49" i="4" a="1"/>
  <c r="Y49" i="4" s="1"/>
  <c r="G25" i="3" s="1"/>
  <c r="Y48" i="4" a="1"/>
  <c r="Y48" i="4" s="1"/>
  <c r="G24" i="3" s="1"/>
  <c r="Y47" i="4" a="1"/>
  <c r="Y47" i="4" s="1"/>
  <c r="G23" i="3" s="1"/>
  <c r="Y46" i="4" a="1"/>
  <c r="Y46" i="4" s="1"/>
  <c r="G22" i="3" s="1"/>
  <c r="Y45" i="4" a="1"/>
  <c r="Y45" i="4" s="1"/>
  <c r="G21" i="3" s="1"/>
  <c r="Y44" i="4" a="1"/>
  <c r="Y44" i="4" s="1"/>
  <c r="G20" i="3" s="1"/>
  <c r="Y43" i="4" a="1"/>
  <c r="Y43" i="4" s="1"/>
  <c r="G19" i="3" s="1"/>
  <c r="Y42" i="4" a="1"/>
  <c r="Y42" i="4" s="1"/>
  <c r="G18" i="3" s="1"/>
  <c r="X51" i="4" a="1"/>
  <c r="X51" i="4" s="1"/>
  <c r="F27" i="3" s="1"/>
  <c r="X50" i="4" a="1"/>
  <c r="X50" i="4" s="1"/>
  <c r="F26" i="3" s="1"/>
  <c r="X49" i="4" a="1"/>
  <c r="X49" i="4" s="1"/>
  <c r="F25" i="3" s="1"/>
  <c r="X48" i="4" a="1"/>
  <c r="X48" i="4" s="1"/>
  <c r="F24" i="3" s="1"/>
  <c r="X47" i="4" a="1"/>
  <c r="X47" i="4" s="1"/>
  <c r="F23" i="3" s="1"/>
  <c r="X46" i="4" a="1"/>
  <c r="X46" i="4" s="1"/>
  <c r="F22" i="3" s="1"/>
  <c r="X45" i="4" a="1"/>
  <c r="X45" i="4" s="1"/>
  <c r="F21" i="3" s="1"/>
  <c r="X44" i="4" a="1"/>
  <c r="X44" i="4" s="1"/>
  <c r="F20" i="3" s="1"/>
  <c r="X43" i="4" a="1"/>
  <c r="X43" i="4" s="1"/>
  <c r="F19" i="3" s="1"/>
  <c r="X42" i="4" a="1"/>
  <c r="X42" i="4" s="1"/>
  <c r="F18" i="3" s="1"/>
  <c r="W51" i="4" a="1"/>
  <c r="W51" i="4" s="1"/>
  <c r="E27" i="3" s="1"/>
  <c r="W50" i="4" a="1"/>
  <c r="W50" i="4" s="1"/>
  <c r="E26" i="3" s="1"/>
  <c r="W49" i="4" a="1"/>
  <c r="W49" i="4" s="1"/>
  <c r="E25" i="3" s="1"/>
  <c r="W48" i="4" a="1"/>
  <c r="W48" i="4" s="1"/>
  <c r="E24" i="3" s="1"/>
  <c r="W47" i="4" a="1"/>
  <c r="W47" i="4" s="1"/>
  <c r="E23" i="3" s="1"/>
  <c r="W46" i="4" a="1"/>
  <c r="W46" i="4" s="1"/>
  <c r="E22" i="3" s="1"/>
  <c r="W45" i="4" a="1"/>
  <c r="W45" i="4" s="1"/>
  <c r="E21" i="3" s="1"/>
  <c r="W44" i="4" a="1"/>
  <c r="W44" i="4" s="1"/>
  <c r="E20" i="3" s="1"/>
  <c r="W43" i="4" a="1"/>
  <c r="W43" i="4" s="1"/>
  <c r="E19" i="3" s="1"/>
  <c r="W42" i="4" a="1"/>
  <c r="W42" i="4" s="1"/>
  <c r="E18" i="3" s="1"/>
  <c r="X30" i="4"/>
  <c r="F6" i="3" s="1"/>
  <c r="V51" i="4" a="1"/>
  <c r="V51" i="4" s="1"/>
  <c r="D27" i="3" s="1"/>
  <c r="V50" i="4" a="1"/>
  <c r="V50" i="4" s="1"/>
  <c r="D26" i="3" s="1"/>
  <c r="V49" i="4" a="1"/>
  <c r="V49" i="4" s="1"/>
  <c r="D25" i="3" s="1"/>
  <c r="V48" i="4" a="1"/>
  <c r="V48" i="4" s="1"/>
  <c r="D24" i="3" s="1"/>
  <c r="V47" i="4" a="1"/>
  <c r="V47" i="4" s="1"/>
  <c r="D23" i="3" s="1"/>
  <c r="V46" i="4" a="1"/>
  <c r="V46" i="4" s="1"/>
  <c r="D22" i="3" s="1"/>
  <c r="V45" i="4" a="1"/>
  <c r="V45" i="4" s="1"/>
  <c r="D21" i="3" s="1"/>
  <c r="V44" i="4" a="1"/>
  <c r="V44" i="4" s="1"/>
  <c r="D20" i="3" s="1"/>
  <c r="V43" i="4" a="1"/>
  <c r="V43" i="4" s="1"/>
  <c r="D19" i="3" s="1"/>
  <c r="V42" i="4" a="1"/>
  <c r="V42" i="4" s="1"/>
  <c r="D18" i="3" s="1"/>
  <c r="X29" i="4"/>
  <c r="F5" i="3" s="1"/>
  <c r="U51" i="4" a="1"/>
  <c r="U51" i="4" s="1"/>
  <c r="C27" i="3" s="1"/>
  <c r="U50" i="4" a="1"/>
  <c r="U50" i="4" s="1"/>
  <c r="C26" i="3" s="1"/>
  <c r="U49" i="4" a="1"/>
  <c r="U49" i="4" s="1"/>
  <c r="C25" i="3" s="1"/>
  <c r="U48" i="4" a="1"/>
  <c r="U48" i="4" s="1"/>
  <c r="C24" i="3" s="1"/>
  <c r="U47" i="4" a="1"/>
  <c r="U47" i="4" s="1"/>
  <c r="C23" i="3" s="1"/>
  <c r="U46" i="4" a="1"/>
  <c r="U46" i="4" s="1"/>
  <c r="C22" i="3" s="1"/>
  <c r="U45" i="4" a="1"/>
  <c r="U45" i="4" s="1"/>
  <c r="C21" i="3" s="1"/>
  <c r="U44" i="4" a="1"/>
  <c r="U44" i="4" s="1"/>
  <c r="C20" i="3" s="1"/>
  <c r="U43" i="4" a="1"/>
  <c r="U43" i="4" s="1"/>
  <c r="C19" i="3" s="1"/>
  <c r="U42" i="4" a="1"/>
  <c r="U42" i="4" s="1"/>
  <c r="C18" i="3" s="1"/>
  <c r="X28" i="4"/>
  <c r="F4" i="3" s="1"/>
  <c r="P30" i="4"/>
  <c r="L30" i="4"/>
  <c r="P32" i="4"/>
  <c r="H32" i="4"/>
  <c r="H26" i="4"/>
  <c r="P29" i="4"/>
  <c r="P28" i="4"/>
  <c r="P31" i="4"/>
  <c r="L27" i="4"/>
  <c r="H35" i="4"/>
  <c r="H30" i="4"/>
  <c r="P26" i="4"/>
  <c r="L28" i="4"/>
  <c r="H29" i="4"/>
  <c r="H34" i="4"/>
  <c r="L29" i="4"/>
  <c r="L26" i="4"/>
  <c r="P33" i="4"/>
  <c r="P34" i="4"/>
  <c r="P27" i="4"/>
  <c r="H33" i="4"/>
  <c r="H27" i="4"/>
  <c r="H28" i="4"/>
  <c r="H31" i="4"/>
  <c r="P35" i="4"/>
  <c r="F13" i="4" l="1"/>
  <c r="N13" i="4" s="1"/>
  <c r="F8" i="4"/>
  <c r="F16" i="4"/>
  <c r="N16" i="4" s="1"/>
  <c r="F15" i="4"/>
  <c r="N15" i="4" s="1"/>
  <c r="F14" i="4"/>
  <c r="N14" i="4" s="1"/>
  <c r="T35" i="4"/>
  <c r="B11" i="3" s="1"/>
  <c r="F12" i="4"/>
  <c r="N12" i="4" s="1"/>
  <c r="F11" i="4"/>
  <c r="N11" i="4" s="1"/>
  <c r="U32" i="4"/>
  <c r="C8" i="3" s="1"/>
  <c r="F10" i="4"/>
  <c r="N10" i="4" s="1"/>
  <c r="T31" i="4"/>
  <c r="B7" i="3" s="1"/>
  <c r="F9" i="4"/>
  <c r="N9" i="4" s="1"/>
  <c r="N8" i="4"/>
  <c r="V29" i="4"/>
  <c r="D5" i="3" s="1"/>
  <c r="V30" i="4"/>
  <c r="D6" i="3" s="1"/>
  <c r="F7" i="4"/>
  <c r="N7" i="4" s="1"/>
  <c r="T29" i="4"/>
  <c r="B5" i="3" s="1"/>
  <c r="T28" i="4"/>
  <c r="B4" i="3" s="1"/>
  <c r="B36" i="4"/>
  <c r="C36" i="4"/>
  <c r="D36" i="4" s="1"/>
  <c r="X6" i="4"/>
  <c r="T51" i="4" s="1" a="1"/>
  <c r="T51" i="4" s="1"/>
  <c r="B27" i="3" s="1"/>
  <c r="W6" i="4"/>
  <c r="T50" i="4" s="1" a="1"/>
  <c r="T50" i="4" s="1"/>
  <c r="B26" i="3" s="1"/>
  <c r="V6" i="4"/>
  <c r="T49" i="4" s="1" a="1"/>
  <c r="T49" i="4" s="1"/>
  <c r="B25" i="3" s="1"/>
  <c r="U6" i="4"/>
  <c r="T48" i="4" s="1" a="1"/>
  <c r="T48" i="4" s="1"/>
  <c r="B24" i="3" s="1"/>
  <c r="T6" i="4"/>
  <c r="T47" i="4" s="1" a="1"/>
  <c r="T47" i="4" s="1"/>
  <c r="B23" i="3" s="1"/>
  <c r="S6" i="4"/>
  <c r="T46" i="4" s="1" a="1"/>
  <c r="T46" i="4" s="1"/>
  <c r="B22" i="3" s="1"/>
  <c r="R6" i="4"/>
  <c r="T45" i="4" s="1" a="1"/>
  <c r="T45" i="4" s="1"/>
  <c r="B21" i="3" s="1"/>
  <c r="F6" i="4"/>
  <c r="N6" i="4" s="1"/>
  <c r="Q8" i="16"/>
  <c r="Q8" i="15"/>
  <c r="Q8" i="14"/>
  <c r="Q8" i="13"/>
  <c r="Q8" i="12"/>
  <c r="Q8" i="11"/>
  <c r="Q8" i="10"/>
  <c r="Q8" i="9"/>
  <c r="Q8" i="8"/>
  <c r="Q8" i="7"/>
  <c r="T42" i="4" a="1"/>
  <c r="T42" i="4" s="1"/>
  <c r="B18" i="3" s="1"/>
  <c r="P6" i="4"/>
  <c r="T43" i="4" s="1" a="1"/>
  <c r="T43" i="4" s="1"/>
  <c r="B19" i="3" s="1"/>
  <c r="Q6" i="4"/>
  <c r="T44" i="4" s="1" a="1"/>
  <c r="T44" i="4" s="1"/>
  <c r="B20" i="3" s="1"/>
  <c r="T34" i="4"/>
  <c r="B10" i="3" s="1"/>
  <c r="U34" i="4"/>
  <c r="C10" i="3" s="1"/>
  <c r="U27" i="4"/>
  <c r="C3" i="3" s="1"/>
  <c r="U35" i="4"/>
  <c r="C11" i="3" s="1"/>
  <c r="Q8" i="6"/>
  <c r="A37" i="4"/>
  <c r="H36" i="4"/>
  <c r="L31" i="4"/>
  <c r="P36" i="4"/>
  <c r="J37" i="4"/>
  <c r="I38" i="4"/>
  <c r="K37" i="4"/>
  <c r="J36" i="4"/>
  <c r="K36" i="4"/>
  <c r="T32" i="4"/>
  <c r="B8" i="3" s="1"/>
  <c r="T36" i="4"/>
  <c r="B12" i="3" s="1"/>
  <c r="U28" i="4"/>
  <c r="C4" i="3" s="1"/>
  <c r="U30" i="4"/>
  <c r="C6" i="3" s="1"/>
  <c r="E36" i="4" l="1"/>
  <c r="B37" i="4"/>
  <c r="C37" i="4"/>
  <c r="D37" i="4" s="1"/>
  <c r="L36" i="4"/>
  <c r="M36" i="4" s="1"/>
  <c r="A38" i="4"/>
  <c r="L38" i="4"/>
  <c r="J38" i="4"/>
  <c r="K38" i="4"/>
  <c r="I39" i="4"/>
  <c r="B38" i="4" l="1"/>
  <c r="C38" i="4"/>
  <c r="D38" i="4" s="1"/>
  <c r="E38" i="4"/>
  <c r="A39" i="4"/>
  <c r="I40" i="4"/>
  <c r="L39" i="4"/>
  <c r="K39" i="4"/>
  <c r="J39" i="4"/>
  <c r="M38" i="4"/>
  <c r="C39" i="4" l="1"/>
  <c r="D39" i="4" s="1"/>
  <c r="B39" i="4"/>
  <c r="E39" i="4"/>
  <c r="A40" i="4"/>
  <c r="M39" i="4"/>
  <c r="K40" i="4"/>
  <c r="L40" i="4"/>
  <c r="I41" i="4"/>
  <c r="J40" i="4"/>
  <c r="B40" i="4" l="1"/>
  <c r="C40" i="4"/>
  <c r="D40" i="4" s="1"/>
  <c r="E40" i="4"/>
  <c r="A41" i="4"/>
  <c r="I42" i="4"/>
  <c r="K41" i="4"/>
  <c r="L41" i="4"/>
  <c r="J41" i="4"/>
  <c r="M40" i="4"/>
  <c r="B41" i="4" l="1"/>
  <c r="C41" i="4"/>
  <c r="D41" i="4" s="1"/>
  <c r="E41" i="4"/>
  <c r="M41" i="4"/>
  <c r="L42" i="4"/>
  <c r="K42" i="4"/>
  <c r="J42" i="4"/>
  <c r="I43" i="4"/>
  <c r="M42" i="4" l="1"/>
  <c r="I44" i="4"/>
  <c r="J43" i="4"/>
  <c r="L43" i="4"/>
  <c r="K43" i="4"/>
  <c r="M43" i="4" l="1"/>
  <c r="L44" i="4"/>
  <c r="K44" i="4"/>
  <c r="J44" i="4"/>
  <c r="M44" i="4" l="1"/>
  <c r="U37" i="4" l="1"/>
  <c r="C13" i="3" s="1"/>
  <c r="L37" i="4" l="1"/>
  <c r="M37" i="4" s="1"/>
  <c r="E37" i="4"/>
  <c r="F40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Maurício Almeida</author>
  </authors>
  <commentList>
    <comment ref="A6" authorId="0" shapeId="0" xr:uid="{6F3CDF0E-0277-45F0-B3E8-A05BE0E1F8DA}">
      <text>
        <r>
          <rPr>
            <sz val="10"/>
            <color rgb="FF000000"/>
            <rFont val="Tahoma"/>
            <family val="2"/>
          </rPr>
          <t>Copie a descrição dos gastos de sua fatura para essa coluna.</t>
        </r>
      </text>
    </comment>
    <comment ref="B6" authorId="0" shapeId="0" xr:uid="{C9358588-4B61-4320-8CCE-169FFEA75877}">
      <text>
        <r>
          <rPr>
            <sz val="10"/>
            <color rgb="FF000000"/>
            <rFont val="Tahoma"/>
            <family val="2"/>
          </rPr>
          <t xml:space="preserve">Copie os valores das compras para essa coluna. 
</t>
        </r>
        <r>
          <rPr>
            <sz val="10"/>
            <color rgb="FF000000"/>
            <rFont val="Tahoma"/>
            <family val="2"/>
          </rPr>
          <t xml:space="preserve">
</t>
        </r>
        <r>
          <rPr>
            <sz val="10"/>
            <color rgb="FF000000"/>
            <rFont val="Tahoma"/>
            <family val="2"/>
          </rPr>
          <t>Depois, clique no botão "Finalizar Importação".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<sst xmlns="http://schemas.openxmlformats.org/spreadsheetml/2006/main" count="780" uniqueCount="185">
  <si>
    <t>Nome</t>
  </si>
  <si>
    <t>Despesa Fixa</t>
  </si>
  <si>
    <t>Contador</t>
  </si>
  <si>
    <t>Categorias de Investimentos</t>
  </si>
  <si>
    <t>Categorias de Despesa Variável</t>
  </si>
  <si>
    <t>Métodos de Pagamentos</t>
  </si>
  <si>
    <t>Exibir a guia Dados:</t>
  </si>
  <si>
    <t>Aluguel + Condomínio</t>
  </si>
  <si>
    <t>Caixinha Nubank</t>
  </si>
  <si>
    <t>Invest1</t>
  </si>
  <si>
    <t>Restaurante</t>
  </si>
  <si>
    <t>DespVar1</t>
  </si>
  <si>
    <t>Pix</t>
  </si>
  <si>
    <t>CDB</t>
  </si>
  <si>
    <t>Invest2</t>
  </si>
  <si>
    <t>Compras parceladas</t>
  </si>
  <si>
    <t>DespVar2</t>
  </si>
  <si>
    <t>Dinheiro</t>
  </si>
  <si>
    <t>Luz</t>
  </si>
  <si>
    <t>Tesouro SELIC</t>
  </si>
  <si>
    <t>Invest3</t>
  </si>
  <si>
    <t>Supermercado</t>
  </si>
  <si>
    <t>DespVar3</t>
  </si>
  <si>
    <t>Internet</t>
  </si>
  <si>
    <t>Ações</t>
  </si>
  <si>
    <t>Invest4</t>
  </si>
  <si>
    <t>Lazer</t>
  </si>
  <si>
    <t>DespVar4</t>
  </si>
  <si>
    <t>Fundos Imobiliários</t>
  </si>
  <si>
    <t>Invest5</t>
  </si>
  <si>
    <t>Transporte</t>
  </si>
  <si>
    <t>DespVar5</t>
  </si>
  <si>
    <t>Vestuário</t>
  </si>
  <si>
    <t>DespVar6</t>
  </si>
  <si>
    <t>Farmácia</t>
  </si>
  <si>
    <t>DespVar7</t>
  </si>
  <si>
    <t>Plano de Saúde</t>
  </si>
  <si>
    <t>DespVar8</t>
  </si>
  <si>
    <t>Seguro Carro</t>
  </si>
  <si>
    <t>DespVar9</t>
  </si>
  <si>
    <t>DespVar10</t>
  </si>
  <si>
    <t>P A</t>
  </si>
  <si>
    <t>D1</t>
  </si>
  <si>
    <t>D2</t>
  </si>
  <si>
    <t>.</t>
  </si>
  <si>
    <t>Subcategorias de Despesa Variável</t>
  </si>
  <si>
    <t>Categorias de Despesas Variáveis</t>
  </si>
  <si>
    <t>Principais Despesas Fixas</t>
  </si>
  <si>
    <t>Dez Primeiras Despesas Fixas</t>
  </si>
  <si>
    <t>Mês</t>
  </si>
  <si>
    <t>Receita</t>
  </si>
  <si>
    <t>Despesa Variável</t>
  </si>
  <si>
    <t>Total Despesas</t>
  </si>
  <si>
    <t>Investimento 1</t>
  </si>
  <si>
    <t>Investimento 2</t>
  </si>
  <si>
    <t>Investimento 3</t>
  </si>
  <si>
    <t>Investimento 4</t>
  </si>
  <si>
    <t>Investimento 5</t>
  </si>
  <si>
    <t>Total Investimentos</t>
  </si>
  <si>
    <t>Outros</t>
  </si>
  <si>
    <t>Saldo</t>
  </si>
  <si>
    <t>D3</t>
  </si>
  <si>
    <t>D4</t>
  </si>
  <si>
    <t>D5</t>
  </si>
  <si>
    <t>D6</t>
  </si>
  <si>
    <t>D7</t>
  </si>
  <si>
    <t>D8</t>
  </si>
  <si>
    <t>D9</t>
  </si>
  <si>
    <t>D10</t>
  </si>
  <si>
    <t>DespFixa1</t>
  </si>
  <si>
    <t>DespFixa2</t>
  </si>
  <si>
    <t>DespFixa3</t>
  </si>
  <si>
    <t>DespFixa4</t>
  </si>
  <si>
    <t>DespFixa5</t>
  </si>
  <si>
    <t>DespFixa6</t>
  </si>
  <si>
    <t>DespFixa7</t>
  </si>
  <si>
    <t>DespFixa8</t>
  </si>
  <si>
    <t>DespFixa9</t>
  </si>
  <si>
    <t>DespFixa10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</si>
  <si>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</si>
  <si>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</si>
  <si>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</si>
  <si>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</si>
  <si>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</si>
  <si>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</si>
  <si>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</si>
  <si>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</si>
  <si>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</si>
  <si>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</si>
  <si>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</si>
  <si>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</si>
  <si>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Rótulos de Linha</t>
  </si>
  <si>
    <t>Soma de Receita</t>
  </si>
  <si>
    <t>Soma de Despesa Fixa</t>
  </si>
  <si>
    <t>Soma de Despesa Variável</t>
  </si>
  <si>
    <t>Soma de Total Despesas</t>
  </si>
  <si>
    <t>Soma de Investimento 1</t>
  </si>
  <si>
    <t>Soma de Investimento 2</t>
  </si>
  <si>
    <t>Soma de Investimento 3</t>
  </si>
  <si>
    <t>Soma de Investimento 4</t>
  </si>
  <si>
    <t>Soma de Investimento 5</t>
  </si>
  <si>
    <t>Soma de Total Investimentos</t>
  </si>
  <si>
    <t>Soma de Outros</t>
  </si>
  <si>
    <t>Soma de Saldo</t>
  </si>
  <si>
    <t>Soma de DespVar1</t>
  </si>
  <si>
    <t>Soma de DespVar2</t>
  </si>
  <si>
    <t>Soma de DespVar3</t>
  </si>
  <si>
    <t>Soma de DespVar4</t>
  </si>
  <si>
    <t>Soma de DespVar5</t>
  </si>
  <si>
    <t>Soma de DespVar6</t>
  </si>
  <si>
    <t>Soma de DespVar7</t>
  </si>
  <si>
    <t>Soma de DespVar8</t>
  </si>
  <si>
    <t>Soma de DespVar9</t>
  </si>
  <si>
    <t>Soma de DespVar10</t>
  </si>
  <si>
    <t>Soma de D1</t>
  </si>
  <si>
    <t>Soma de D2</t>
  </si>
  <si>
    <t>Soma de D3</t>
  </si>
  <si>
    <t>Soma de D4</t>
  </si>
  <si>
    <t>Soma de D5</t>
  </si>
  <si>
    <t>Soma de D6</t>
  </si>
  <si>
    <t>Soma de D7</t>
  </si>
  <si>
    <t>Soma de D8</t>
  </si>
  <si>
    <t>Soma de D9</t>
  </si>
  <si>
    <t>Soma de D10</t>
  </si>
  <si>
    <t>Soma de DespFixa1</t>
  </si>
  <si>
    <t>Soma de DespFixa2</t>
  </si>
  <si>
    <t>Soma de DespFixa3</t>
  </si>
  <si>
    <t>Soma de DespFixa4</t>
  </si>
  <si>
    <t>Soma de DespFixa5</t>
  </si>
  <si>
    <t>Soma de DespFixa6</t>
  </si>
  <si>
    <t>Soma de DespFixa7</t>
  </si>
  <si>
    <t>Soma de DespFixa8</t>
  </si>
  <si>
    <t>Soma de DespFixa9</t>
  </si>
  <si>
    <t>Soma de DespFixa10</t>
  </si>
  <si>
    <t>Total Geral</t>
  </si>
  <si>
    <t>Valores</t>
  </si>
  <si>
    <t>Percentual</t>
  </si>
  <si>
    <t>Relatorio</t>
  </si>
  <si>
    <t>Investimentos</t>
  </si>
  <si>
    <t>Total</t>
  </si>
  <si>
    <t>Receita Comprometida</t>
  </si>
  <si>
    <t>Desp Var</t>
  </si>
  <si>
    <t>Despesas</t>
  </si>
  <si>
    <t>Média (últimos 4 meses)</t>
  </si>
  <si>
    <t>Detalhamento Despesas Variáveis</t>
  </si>
  <si>
    <t xml:space="preserve">Mai </t>
  </si>
  <si>
    <t>x</t>
  </si>
  <si>
    <t>y</t>
  </si>
  <si>
    <t>Max</t>
  </si>
  <si>
    <t>sobre Max</t>
  </si>
  <si>
    <t>Detalhamento Despesas Fixas</t>
  </si>
  <si>
    <t>Descrição</t>
  </si>
  <si>
    <t>Valor</t>
  </si>
  <si>
    <t>Lançamento de Compras Parceladas</t>
  </si>
  <si>
    <t>Fonte</t>
  </si>
  <si>
    <t>Pagamento</t>
  </si>
  <si>
    <t>Forma de Pagamento</t>
  </si>
  <si>
    <t>Categoria</t>
  </si>
  <si>
    <t>Qtd Parcelas</t>
  </si>
  <si>
    <t>Resumo das Despesas</t>
  </si>
  <si>
    <t>Método de Pagamento</t>
  </si>
  <si>
    <t>Subtotal</t>
  </si>
  <si>
    <t>Investimento</t>
  </si>
  <si>
    <t>Anotações / Lembretes</t>
  </si>
  <si>
    <t>-</t>
  </si>
  <si>
    <t>Detalhamento Método de Pagamento</t>
  </si>
  <si>
    <t>Água</t>
  </si>
  <si>
    <t>Não</t>
  </si>
  <si>
    <t>Financiamento</t>
  </si>
  <si>
    <t>Parcela Imóvel</t>
  </si>
  <si>
    <t>Faculdade</t>
  </si>
  <si>
    <t>Despesa 10</t>
  </si>
  <si>
    <t>Despesa 11</t>
  </si>
  <si>
    <t>Despesa 12</t>
  </si>
  <si>
    <t>Cartão Visa</t>
  </si>
  <si>
    <t>Cartão Mastercard</t>
  </si>
  <si>
    <t>Cartão Esposa</t>
  </si>
  <si>
    <t>Cartão Filho</t>
  </si>
  <si>
    <t>Cartão Filha</t>
  </si>
  <si>
    <t>Cartão Sogra</t>
  </si>
  <si>
    <t>Desp Var 8</t>
  </si>
  <si>
    <t>Desp Var 9</t>
  </si>
  <si>
    <t>Salário</t>
  </si>
  <si>
    <t>Eduardo Silva</t>
  </si>
  <si>
    <t>Desp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</si>
</sst>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&quot;R$&quot;\ #,##0.00"/>
    <numFmt numFmtId="166" formatCode="0##&quot;.&quot;###&quot;.&quot;###\-##"/>
  </numFmts>
  <fonts count="3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2"/>
      <color theme="7" tint="0.3999755851924192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name val="Aptos Narrow"/>
      <family val="2"/>
      <scheme val="minor"/>
    </font>
    <font>
      <sz val="12"/>
      <color rgb="FF9BF9F2"/>
      <name val="Aptos Narrow"/>
      <family val="2"/>
      <scheme val="minor"/>
    </font>
    <font>
      <sz val="12"/>
      <color rgb="FFD74484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2"/>
      <color theme="1" tint="0.34998626667073579"/>
      <name val="Aptos Narrow"/>
      <family val="2"/>
      <scheme val="minor"/>
    </font>
    <font>
      <sz val="12"/>
      <color rgb="FF595959"/>
      <name val="Aptos Narrow"/>
      <family val="2"/>
      <scheme val="minor"/>
    </font>
    <font>
      <sz val="12"/>
      <color rgb="FFFFC00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rgb="FF000000"/>
      <name val="Aptos Narrow"/>
      <family val="2"/>
      <scheme val="minor"/>
    </font>
    <font>
      <sz val="12"/>
      <color rgb="FFFF0000"/>
      <name val="Aptos Narrow"/>
      <family val="2"/>
      <scheme val="minor"/>
    </font>
    <font>
      <b/>
      <sz val="12"/>
      <name val="Aptos Narrow"/>
      <family val="2"/>
      <scheme val="minor"/>
    </font>
    <font>
      <b/>
      <sz val="12"/>
      <color rgb="FFFF000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2" tint="-9.9978637043366805E-2"/>
      <name val="Aptos Narrow"/>
      <family val="2"/>
      <scheme val="minor"/>
    </font>
    <font>
      <sz val="10"/>
      <color rgb="FF000000"/>
      <name val="Tahoma"/>
      <family val="2"/>
    </font>
    <font>
      <sz val="12"/>
      <color rgb="FFD0CECE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b/>
      <sz val="14"/>
      <color rgb="FF9BF9F2"/>
      <name val="Aptos Narrow"/>
      <family val="2"/>
      <scheme val="minor"/>
    </font>
    <font>
      <b/>
      <sz val="14"/>
      <color theme="2"/>
      <name val="Aptos Narrow"/>
      <family val="2"/>
      <scheme val="minor"/>
    </font>
    <font>
      <b/>
      <sz val="12"/>
      <color theme="2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0" tint="-0.249977111117893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venir Book"/>
      <family val="2"/>
    </font>
  </fonts>
  <fills count="1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14999847407452621"/>
        <bgColor rgb="FFD9D9D9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0" tint="-0.14999847407452621"/>
      </patternFill>
    </fill>
    <fill>
      <patternFill patternType="solid">
        <fgColor theme="1" tint="0.34998626667073579"/>
        <bgColor theme="0" tint="-0.14999847407452621"/>
      </patternFill>
    </fill>
  </fills>
  <borders count="7">
    <border>
      <left/>
      <right/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theme="1"/>
      </top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87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7" fillId="2" borderId="0" xfId="0" applyFont="1" applyFill="1"/>
    <xf numFmtId="0" fontId="8" fillId="2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8" fillId="2" borderId="0" xfId="0" applyFont="1" applyFill="1"/>
    <xf numFmtId="0" fontId="8" fillId="2" borderId="0" xfId="0" applyFont="1" applyFill="1" applyProtection="1">
      <protection locked="0"/>
    </xf>
    <xf numFmtId="0" fontId="8" fillId="2" borderId="0" xfId="0" applyFont="1" applyFill="1" applyAlignment="1">
      <alignment horizontal="center"/>
    </xf>
    <xf numFmtId="0" fontId="11" fillId="2" borderId="0" xfId="0" applyFont="1" applyFill="1" applyAlignment="1">
      <alignment horizontal="right"/>
    </xf>
    <xf numFmtId="0" fontId="12" fillId="3" borderId="0" xfId="0" applyFont="1" applyFill="1" applyAlignment="1">
      <alignment horizontal="right"/>
    </xf>
    <xf numFmtId="0" fontId="13" fillId="2" borderId="0" xfId="0" applyFont="1" applyFill="1" applyProtection="1">
      <protection locked="0"/>
    </xf>
    <xf numFmtId="0" fontId="13" fillId="2" borderId="1" xfId="0" applyFont="1" applyFill="1" applyBorder="1" applyProtection="1">
      <protection locked="0"/>
    </xf>
    <xf numFmtId="0" fontId="13" fillId="2" borderId="0" xfId="0" applyFont="1" applyFill="1" applyAlignment="1" applyProtection="1">
      <alignment horizontal="left"/>
      <protection locked="0"/>
    </xf>
    <xf numFmtId="0" fontId="14" fillId="0" borderId="0" xfId="0" applyFont="1" applyAlignment="1">
      <alignment horizontal="centerContinuous"/>
    </xf>
    <xf numFmtId="0" fontId="14" fillId="4" borderId="0" xfId="0" applyFont="1" applyFill="1" applyAlignment="1">
      <alignment horizontal="centerContinuous"/>
    </xf>
    <xf numFmtId="0" fontId="0" fillId="0" borderId="0" xfId="0" applyAlignment="1">
      <alignment horizontal="center"/>
    </xf>
    <xf numFmtId="0" fontId="14" fillId="4" borderId="0" xfId="0" applyFont="1" applyFill="1" applyAlignment="1">
      <alignment horizontal="center"/>
    </xf>
    <xf numFmtId="0" fontId="0" fillId="5" borderId="0" xfId="0" applyFill="1" applyAlignment="1">
      <alignment horizontal="center"/>
    </xf>
    <xf numFmtId="0" fontId="0" fillId="4" borderId="0" xfId="0" applyFill="1" applyAlignment="1">
      <alignment horizontal="centerContinuous"/>
    </xf>
    <xf numFmtId="0" fontId="0" fillId="5" borderId="0" xfId="0" applyFill="1"/>
    <xf numFmtId="0" fontId="14" fillId="0" borderId="0" xfId="0" applyFont="1" applyAlignment="1">
      <alignment horizontal="center"/>
    </xf>
    <xf numFmtId="0" fontId="9" fillId="0" borderId="0" xfId="0" applyFont="1"/>
    <xf numFmtId="0" fontId="14" fillId="0" borderId="0" xfId="0" applyFont="1"/>
    <xf numFmtId="0" fontId="15" fillId="0" borderId="0" xfId="0" applyFont="1" applyAlignment="1">
      <alignment horizontal="center"/>
    </xf>
    <xf numFmtId="0" fontId="14" fillId="0" borderId="2" xfId="0" applyFont="1" applyBorder="1" applyAlignment="1" applyProtection="1">
      <alignment horizontal="center"/>
      <protection locked="0"/>
    </xf>
    <xf numFmtId="0" fontId="14" fillId="5" borderId="2" xfId="0" applyFont="1" applyFill="1" applyBorder="1" applyAlignment="1" applyProtection="1">
      <alignment horizontal="center"/>
      <protection locked="0"/>
    </xf>
    <xf numFmtId="0" fontId="14" fillId="4" borderId="2" xfId="0" applyFont="1" applyFill="1" applyBorder="1" applyAlignment="1" applyProtection="1">
      <alignment horizontal="center"/>
      <protection locked="0"/>
    </xf>
    <xf numFmtId="0" fontId="14" fillId="5" borderId="2" xfId="0" applyFont="1" applyFill="1" applyBorder="1" applyProtection="1">
      <protection locked="0"/>
    </xf>
    <xf numFmtId="0" fontId="15" fillId="5" borderId="2" xfId="0" applyFont="1" applyFill="1" applyBorder="1" applyProtection="1">
      <protection locked="0"/>
    </xf>
    <xf numFmtId="0" fontId="15" fillId="4" borderId="2" xfId="0" applyFont="1" applyFill="1" applyBorder="1" applyAlignment="1" applyProtection="1">
      <alignment horizontal="center"/>
      <protection locked="0"/>
    </xf>
    <xf numFmtId="0" fontId="15" fillId="5" borderId="2" xfId="0" applyFont="1" applyFill="1" applyBorder="1" applyAlignment="1" applyProtection="1">
      <alignment horizontal="center"/>
      <protection locked="0"/>
    </xf>
    <xf numFmtId="0" fontId="8" fillId="0" borderId="0" xfId="0" applyFont="1"/>
    <xf numFmtId="164" fontId="0" fillId="0" borderId="0" xfId="0" applyNumberFormat="1" applyProtection="1">
      <protection locked="0"/>
    </xf>
    <xf numFmtId="0" fontId="0" fillId="0" borderId="0" xfId="0" applyProtection="1">
      <protection locked="0"/>
    </xf>
    <xf numFmtId="9" fontId="0" fillId="0" borderId="0" xfId="0" applyNumberFormat="1"/>
    <xf numFmtId="0" fontId="0" fillId="0" borderId="0" xfId="0" applyAlignment="1" applyProtection="1">
      <alignment horizontal="left"/>
      <protection locked="0"/>
    </xf>
    <xf numFmtId="0" fontId="8" fillId="6" borderId="0" xfId="0" applyFont="1" applyFill="1" applyAlignment="1" applyProtection="1">
      <alignment horizontal="center"/>
      <protection locked="0"/>
    </xf>
    <xf numFmtId="0" fontId="16" fillId="0" borderId="0" xfId="0" applyFont="1"/>
    <xf numFmtId="0" fontId="17" fillId="0" borderId="0" xfId="0" applyFont="1" applyAlignment="1">
      <alignment horizontal="centerContinuous"/>
    </xf>
    <xf numFmtId="0" fontId="17" fillId="4" borderId="0" xfId="0" applyFont="1" applyFill="1" applyAlignment="1">
      <alignment horizontal="centerContinuous"/>
    </xf>
    <xf numFmtId="0" fontId="5" fillId="4" borderId="0" xfId="0" applyFont="1" applyFill="1" applyAlignment="1">
      <alignment horizontal="centerContinuous"/>
    </xf>
    <xf numFmtId="0" fontId="5" fillId="0" borderId="0" xfId="0" applyFont="1"/>
    <xf numFmtId="0" fontId="17" fillId="4" borderId="0" xfId="0" applyFont="1" applyFill="1" applyAlignment="1">
      <alignment horizontal="center"/>
    </xf>
    <xf numFmtId="0" fontId="17" fillId="4" borderId="0" xfId="0" applyFont="1" applyFill="1"/>
    <xf numFmtId="165" fontId="0" fillId="5" borderId="0" xfId="0" applyNumberFormat="1" applyFill="1" applyAlignment="1">
      <alignment horizontal="center"/>
    </xf>
    <xf numFmtId="0" fontId="8" fillId="2" borderId="0" xfId="0" applyFont="1" applyFill="1" applyAlignment="1" applyProtection="1">
      <alignment horizontal="left"/>
      <protection locked="0"/>
    </xf>
    <xf numFmtId="9" fontId="8" fillId="2" borderId="0" xfId="2" applyFont="1" applyFill="1" applyAlignment="1" applyProtection="1">
      <alignment horizontal="center"/>
      <protection locked="0"/>
    </xf>
    <xf numFmtId="0" fontId="5" fillId="0" borderId="0" xfId="0" applyFont="1" applyAlignment="1">
      <alignment horizontal="left"/>
    </xf>
    <xf numFmtId="4" fontId="5" fillId="0" borderId="0" xfId="0" applyNumberFormat="1" applyFont="1"/>
    <xf numFmtId="0" fontId="5" fillId="7" borderId="0" xfId="0" applyFont="1" applyFill="1"/>
    <xf numFmtId="0" fontId="5" fillId="7" borderId="0" xfId="0" applyFont="1" applyFill="1" applyAlignment="1">
      <alignment horizontal="left"/>
    </xf>
    <xf numFmtId="164" fontId="5" fillId="7" borderId="0" xfId="0" applyNumberFormat="1" applyFont="1" applyFill="1"/>
    <xf numFmtId="9" fontId="5" fillId="7" borderId="0" xfId="0" applyNumberFormat="1" applyFont="1" applyFill="1" applyAlignment="1">
      <alignment horizontal="center"/>
    </xf>
    <xf numFmtId="0" fontId="17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4" fontId="5" fillId="0" borderId="0" xfId="0" applyNumberFormat="1" applyFont="1" applyAlignment="1">
      <alignment horizontal="center"/>
    </xf>
    <xf numFmtId="0" fontId="18" fillId="4" borderId="0" xfId="0" applyFont="1" applyFill="1" applyAlignment="1">
      <alignment horizontal="centerContinuous"/>
    </xf>
    <xf numFmtId="0" fontId="0" fillId="0" borderId="0" xfId="0" pivotButton="1" applyProtection="1">
      <protection locked="0"/>
    </xf>
    <xf numFmtId="0" fontId="19" fillId="0" borderId="0" xfId="0" applyFont="1" applyAlignment="1" applyProtection="1">
      <alignment horizontal="left"/>
      <protection locked="0"/>
    </xf>
    <xf numFmtId="0" fontId="0" fillId="10" borderId="0" xfId="0" applyFill="1" applyProtection="1">
      <protection locked="0"/>
    </xf>
    <xf numFmtId="0" fontId="9" fillId="11" borderId="0" xfId="0" applyFont="1" applyFill="1" applyProtection="1">
      <protection locked="0"/>
    </xf>
    <xf numFmtId="0" fontId="20" fillId="12" borderId="0" xfId="0" applyFont="1" applyFill="1" applyProtection="1">
      <protection locked="0"/>
    </xf>
    <xf numFmtId="0" fontId="22" fillId="2" borderId="0" xfId="0" applyFont="1" applyFill="1"/>
    <xf numFmtId="165" fontId="8" fillId="2" borderId="0" xfId="0" applyNumberFormat="1" applyFont="1" applyFill="1"/>
    <xf numFmtId="165" fontId="8" fillId="2" borderId="0" xfId="0" applyNumberFormat="1" applyFont="1" applyFill="1" applyAlignment="1">
      <alignment horizontal="center"/>
    </xf>
    <xf numFmtId="0" fontId="23" fillId="13" borderId="0" xfId="0" applyFont="1" applyFill="1" applyAlignment="1">
      <alignment horizontal="center"/>
    </xf>
    <xf numFmtId="165" fontId="24" fillId="13" borderId="0" xfId="0" applyNumberFormat="1" applyFont="1" applyFill="1" applyAlignment="1">
      <alignment horizontal="center"/>
    </xf>
    <xf numFmtId="0" fontId="9" fillId="2" borderId="0" xfId="0" applyFont="1" applyFill="1" applyAlignment="1">
      <alignment horizontal="center"/>
    </xf>
    <xf numFmtId="165" fontId="23" fillId="13" borderId="0" xfId="0" applyNumberFormat="1" applyFont="1" applyFill="1" applyAlignment="1">
      <alignment horizontal="center"/>
    </xf>
    <xf numFmtId="165" fontId="24" fillId="13" borderId="0" xfId="0" applyNumberFormat="1" applyFont="1" applyFill="1" applyAlignment="1">
      <alignment horizontal="centerContinuous"/>
    </xf>
    <xf numFmtId="0" fontId="9" fillId="13" borderId="0" xfId="0" applyFont="1" applyFill="1" applyAlignment="1">
      <alignment horizontal="centerContinuous"/>
    </xf>
    <xf numFmtId="165" fontId="23" fillId="13" borderId="0" xfId="0" applyNumberFormat="1" applyFont="1" applyFill="1" applyAlignment="1">
      <alignment horizontal="centerContinuous" vertical="top"/>
    </xf>
    <xf numFmtId="165" fontId="23" fillId="2" borderId="0" xfId="0" applyNumberFormat="1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165" fontId="9" fillId="13" borderId="0" xfId="0" applyNumberFormat="1" applyFont="1" applyFill="1" applyAlignment="1">
      <alignment horizontal="center"/>
    </xf>
    <xf numFmtId="0" fontId="20" fillId="12" borderId="0" xfId="0" applyFont="1" applyFill="1" applyAlignment="1">
      <alignment horizontal="left" indent="1"/>
    </xf>
    <xf numFmtId="165" fontId="20" fillId="12" borderId="0" xfId="0" applyNumberFormat="1" applyFont="1" applyFill="1" applyAlignment="1" applyProtection="1">
      <alignment horizontal="center"/>
      <protection locked="0"/>
    </xf>
    <xf numFmtId="0" fontId="20" fillId="2" borderId="0" xfId="0" applyFont="1" applyFill="1"/>
    <xf numFmtId="0" fontId="25" fillId="15" borderId="0" xfId="0" applyFont="1" applyFill="1" applyAlignment="1">
      <alignment horizontal="center"/>
    </xf>
    <xf numFmtId="165" fontId="24" fillId="15" borderId="0" xfId="0" applyNumberFormat="1" applyFont="1" applyFill="1" applyAlignment="1">
      <alignment horizontal="centerContinuous" vertical="center"/>
    </xf>
    <xf numFmtId="0" fontId="26" fillId="15" borderId="0" xfId="0" applyFont="1" applyFill="1" applyAlignment="1">
      <alignment horizontal="center"/>
    </xf>
    <xf numFmtId="165" fontId="26" fillId="15" borderId="0" xfId="0" applyNumberFormat="1" applyFont="1" applyFill="1" applyAlignment="1">
      <alignment horizontal="center"/>
    </xf>
    <xf numFmtId="0" fontId="20" fillId="16" borderId="0" xfId="0" applyFont="1" applyFill="1" applyAlignment="1">
      <alignment horizontal="left" indent="1"/>
    </xf>
    <xf numFmtId="165" fontId="20" fillId="16" borderId="0" xfId="0" applyNumberFormat="1" applyFont="1" applyFill="1" applyAlignment="1">
      <alignment horizontal="right" indent="1"/>
    </xf>
    <xf numFmtId="0" fontId="23" fillId="2" borderId="0" xfId="0" applyFont="1" applyFill="1" applyAlignment="1">
      <alignment horizontal="center"/>
    </xf>
    <xf numFmtId="0" fontId="8" fillId="17" borderId="6" xfId="0" applyFont="1" applyFill="1" applyBorder="1" applyAlignment="1">
      <alignment horizontal="center"/>
    </xf>
    <xf numFmtId="0" fontId="20" fillId="2" borderId="0" xfId="0" applyFont="1" applyFill="1" applyAlignment="1">
      <alignment horizontal="left" indent="1"/>
    </xf>
    <xf numFmtId="165" fontId="20" fillId="2" borderId="0" xfId="0" applyNumberFormat="1" applyFont="1" applyFill="1" applyAlignment="1">
      <alignment horizontal="right" indent="1"/>
    </xf>
    <xf numFmtId="0" fontId="23" fillId="13" borderId="0" xfId="0" applyFont="1" applyFill="1" applyAlignment="1">
      <alignment horizontal="centerContinuous"/>
    </xf>
    <xf numFmtId="0" fontId="9" fillId="18" borderId="0" xfId="0" applyFont="1" applyFill="1" applyAlignment="1">
      <alignment horizontal="left" indent="3"/>
    </xf>
    <xf numFmtId="165" fontId="9" fillId="18" borderId="0" xfId="0" applyNumberFormat="1" applyFont="1" applyFill="1" applyAlignment="1">
      <alignment horizontal="center"/>
    </xf>
    <xf numFmtId="0" fontId="8" fillId="13" borderId="0" xfId="0" applyFont="1" applyFill="1" applyAlignment="1">
      <alignment horizontal="center"/>
    </xf>
    <xf numFmtId="165" fontId="8" fillId="13" borderId="0" xfId="0" applyNumberFormat="1" applyFont="1" applyFill="1" applyAlignment="1">
      <alignment horizontal="center"/>
    </xf>
    <xf numFmtId="165" fontId="8" fillId="2" borderId="0" xfId="0" applyNumberFormat="1" applyFont="1" applyFill="1" applyProtection="1"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2" borderId="0" xfId="0" applyFont="1" applyFill="1" applyAlignment="1">
      <alignment horizontal="left"/>
    </xf>
    <xf numFmtId="165" fontId="8" fillId="2" borderId="0" xfId="0" applyNumberFormat="1" applyFont="1" applyFill="1" applyAlignment="1" applyProtection="1">
      <alignment horizontal="center"/>
      <protection locked="0"/>
    </xf>
    <xf numFmtId="0" fontId="20" fillId="12" borderId="0" xfId="0" applyFont="1" applyFill="1" applyAlignment="1" applyProtection="1">
      <alignment horizontal="left" indent="1"/>
      <protection locked="0"/>
    </xf>
    <xf numFmtId="165" fontId="0" fillId="10" borderId="0" xfId="0" applyNumberFormat="1" applyFill="1" applyAlignment="1" applyProtection="1">
      <alignment horizontal="center"/>
      <protection locked="0"/>
    </xf>
    <xf numFmtId="165" fontId="0" fillId="10" borderId="0" xfId="0" applyNumberFormat="1" applyFill="1" applyAlignment="1">
      <alignment horizontal="center"/>
    </xf>
    <xf numFmtId="0" fontId="0" fillId="10" borderId="0" xfId="0" applyFill="1" applyAlignment="1" applyProtection="1">
      <alignment horizontal="left" indent="1"/>
      <protection locked="0"/>
    </xf>
    <xf numFmtId="0" fontId="0" fillId="10" borderId="0" xfId="0" applyFill="1" applyAlignment="1">
      <alignment horizontal="left" indent="1"/>
    </xf>
    <xf numFmtId="164" fontId="4" fillId="5" borderId="0" xfId="1" applyFont="1" applyFill="1" applyAlignment="1" applyProtection="1">
      <alignment vertical="center"/>
    </xf>
    <xf numFmtId="164" fontId="0" fillId="4" borderId="0" xfId="1" applyFont="1" applyFill="1" applyAlignment="1" applyProtection="1">
      <alignment vertical="center"/>
    </xf>
    <xf numFmtId="0" fontId="0" fillId="4" borderId="0" xfId="0" applyFill="1" applyAlignment="1">
      <alignment vertical="center"/>
    </xf>
    <xf numFmtId="165" fontId="0" fillId="5" borderId="0" xfId="0" applyNumberFormat="1" applyFill="1"/>
    <xf numFmtId="0" fontId="0" fillId="5" borderId="3" xfId="0" applyFill="1" applyBorder="1"/>
    <xf numFmtId="164" fontId="1" fillId="5" borderId="3" xfId="1" applyFont="1" applyFill="1" applyBorder="1" applyAlignment="1" applyProtection="1">
      <alignment vertical="center"/>
    </xf>
    <xf numFmtId="164" fontId="4" fillId="5" borderId="3" xfId="1" applyFont="1" applyFill="1" applyBorder="1" applyAlignment="1" applyProtection="1">
      <alignment vertical="center"/>
    </xf>
    <xf numFmtId="164" fontId="1" fillId="0" borderId="0" xfId="0" applyNumberFormat="1" applyFont="1" applyAlignment="1">
      <alignment vertical="center"/>
    </xf>
    <xf numFmtId="164" fontId="1" fillId="0" borderId="3" xfId="0" applyNumberFormat="1" applyFont="1" applyBorder="1" applyAlignment="1">
      <alignment vertical="center"/>
    </xf>
    <xf numFmtId="164" fontId="0" fillId="4" borderId="3" xfId="1" applyFont="1" applyFill="1" applyBorder="1" applyAlignment="1" applyProtection="1">
      <alignment vertical="center"/>
    </xf>
    <xf numFmtId="9" fontId="0" fillId="8" borderId="0" xfId="2" applyFont="1" applyFill="1" applyAlignment="1" applyProtection="1">
      <alignment horizontal="center"/>
    </xf>
    <xf numFmtId="9" fontId="8" fillId="2" borderId="0" xfId="2" applyFont="1" applyFill="1" applyAlignment="1" applyProtection="1">
      <alignment horizontal="center"/>
    </xf>
    <xf numFmtId="164" fontId="8" fillId="2" borderId="0" xfId="0" applyNumberFormat="1" applyFont="1" applyFill="1"/>
    <xf numFmtId="9" fontId="0" fillId="0" borderId="0" xfId="2" applyFont="1"/>
    <xf numFmtId="0" fontId="28" fillId="0" borderId="0" xfId="0" applyFont="1"/>
    <xf numFmtId="9" fontId="0" fillId="9" borderId="4" xfId="2" applyFont="1" applyFill="1" applyBorder="1" applyAlignment="1" applyProtection="1">
      <alignment horizontal="center" vertical="center"/>
    </xf>
    <xf numFmtId="0" fontId="8" fillId="17" borderId="6" xfId="0" applyFont="1" applyFill="1" applyBorder="1"/>
    <xf numFmtId="0" fontId="17" fillId="0" borderId="0" xfId="0" applyFont="1"/>
    <xf numFmtId="0" fontId="29" fillId="4" borderId="0" xfId="0" applyFont="1" applyFill="1" applyAlignment="1">
      <alignment horizontal="centerContinuous"/>
    </xf>
    <xf numFmtId="14" fontId="19" fillId="2" borderId="0" xfId="0" applyNumberFormat="1" applyFont="1" applyFill="1"/>
    <xf numFmtId="0" fontId="9" fillId="2" borderId="0" xfId="0" applyFont="1" applyFill="1"/>
    <xf numFmtId="0" fontId="13" fillId="2" borderId="0" xfId="0" applyFont="1" applyFill="1"/>
    <xf numFmtId="0" fontId="3" fillId="2" borderId="0" xfId="0" applyFont="1" applyFill="1"/>
    <xf numFmtId="0" fontId="10" fillId="2" borderId="0" xfId="0" applyFont="1" applyFill="1"/>
    <xf numFmtId="0" fontId="6" fillId="2" borderId="0" xfId="0" applyFont="1" applyFill="1" applyProtection="1">
      <protection locked="0"/>
    </xf>
    <xf numFmtId="0" fontId="0" fillId="5" borderId="0" xfId="0" applyFill="1" applyAlignment="1" applyProtection="1">
      <alignment horizontal="center"/>
      <protection locked="0"/>
    </xf>
    <xf numFmtId="0" fontId="0" fillId="4" borderId="0" xfId="0" applyFill="1" applyAlignment="1" applyProtection="1">
      <alignment horizontal="centerContinuous"/>
      <protection locked="0"/>
    </xf>
    <xf numFmtId="0" fontId="14" fillId="4" borderId="0" xfId="0" applyFont="1" applyFill="1" applyAlignment="1" applyProtection="1">
      <alignment horizontal="center"/>
      <protection locked="0"/>
    </xf>
    <xf numFmtId="0" fontId="29" fillId="4" borderId="0" xfId="0" applyFont="1" applyFill="1" applyAlignment="1" applyProtection="1">
      <alignment horizontal="centerContinuous"/>
      <protection locked="0"/>
    </xf>
    <xf numFmtId="0" fontId="0" fillId="0" borderId="0" xfId="0" applyAlignment="1" applyProtection="1">
      <alignment horizontal="center"/>
      <protection locked="0"/>
    </xf>
    <xf numFmtId="164" fontId="4" fillId="0" borderId="0" xfId="1" applyFont="1" applyAlignment="1" applyProtection="1">
      <alignment vertical="center"/>
      <protection locked="0"/>
    </xf>
    <xf numFmtId="0" fontId="0" fillId="0" borderId="3" xfId="0" applyBorder="1" applyAlignment="1" applyProtection="1">
      <alignment horizontal="center"/>
      <protection locked="0"/>
    </xf>
    <xf numFmtId="164" fontId="4" fillId="0" borderId="3" xfId="1" applyFont="1" applyBorder="1" applyAlignment="1" applyProtection="1">
      <alignment vertical="center"/>
      <protection locked="0"/>
    </xf>
    <xf numFmtId="0" fontId="5" fillId="7" borderId="0" xfId="0" applyFont="1" applyFill="1" applyAlignment="1" applyProtection="1">
      <alignment horizontal="left"/>
      <protection locked="0"/>
    </xf>
    <xf numFmtId="9" fontId="5" fillId="7" borderId="0" xfId="2" applyFont="1" applyFill="1" applyAlignment="1" applyProtection="1">
      <alignment horizontal="center"/>
      <protection locked="0"/>
    </xf>
    <xf numFmtId="0" fontId="5" fillId="7" borderId="0" xfId="0" applyFont="1" applyFill="1" applyProtection="1">
      <protection locked="0"/>
    </xf>
    <xf numFmtId="0" fontId="17" fillId="0" borderId="0" xfId="0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Protection="1">
      <protection locked="0"/>
    </xf>
    <xf numFmtId="164" fontId="0" fillId="4" borderId="0" xfId="1" applyFont="1" applyFill="1" applyAlignment="1" applyProtection="1">
      <alignment vertical="center"/>
      <protection locked="0"/>
    </xf>
    <xf numFmtId="164" fontId="0" fillId="4" borderId="3" xfId="1" applyFont="1" applyFill="1" applyBorder="1" applyAlignment="1" applyProtection="1">
      <alignment vertical="center"/>
      <protection locked="0"/>
    </xf>
    <xf numFmtId="164" fontId="0" fillId="0" borderId="0" xfId="0" applyNumberFormat="1" applyAlignment="1" applyProtection="1">
      <alignment vertical="center"/>
      <protection locked="0"/>
    </xf>
    <xf numFmtId="9" fontId="0" fillId="8" borderId="0" xfId="2" applyFont="1" applyFill="1" applyAlignment="1" applyProtection="1">
      <alignment horizontal="center"/>
      <protection locked="0"/>
    </xf>
    <xf numFmtId="164" fontId="19" fillId="0" borderId="0" xfId="0" applyNumberFormat="1" applyFont="1" applyAlignment="1" applyProtection="1">
      <alignment vertical="center"/>
      <protection locked="0"/>
    </xf>
    <xf numFmtId="9" fontId="5" fillId="8" borderId="0" xfId="2" applyFont="1" applyFill="1" applyAlignment="1" applyProtection="1">
      <alignment horizontal="center"/>
      <protection locked="0"/>
    </xf>
    <xf numFmtId="165" fontId="8" fillId="2" borderId="0" xfId="2" applyNumberFormat="1" applyFont="1" applyFill="1" applyAlignment="1" applyProtection="1">
      <alignment horizontal="center"/>
      <protection locked="0"/>
    </xf>
    <xf numFmtId="164" fontId="4" fillId="0" borderId="0" xfId="1" applyFont="1" applyFill="1" applyAlignment="1" applyProtection="1">
      <alignment vertical="center"/>
      <protection locked="0"/>
    </xf>
    <xf numFmtId="165" fontId="4" fillId="0" borderId="0" xfId="1" applyNumberFormat="1" applyFont="1" applyAlignment="1" applyProtection="1">
      <alignment vertical="center"/>
      <protection locked="0"/>
    </xf>
    <xf numFmtId="164" fontId="4" fillId="0" borderId="3" xfId="1" applyFont="1" applyFill="1" applyBorder="1" applyAlignment="1" applyProtection="1">
      <alignment vertical="center"/>
      <protection locked="0"/>
    </xf>
    <xf numFmtId="165" fontId="4" fillId="0" borderId="3" xfId="1" applyNumberFormat="1" applyFont="1" applyBorder="1" applyAlignment="1" applyProtection="1">
      <alignment vertical="center"/>
      <protection locked="0"/>
    </xf>
    <xf numFmtId="2" fontId="0" fillId="0" borderId="0" xfId="0" applyNumberFormat="1" applyProtection="1">
      <protection locked="0"/>
    </xf>
    <xf numFmtId="0" fontId="0" fillId="7" borderId="0" xfId="0" applyFill="1" applyProtection="1">
      <protection locked="0"/>
    </xf>
    <xf numFmtId="9" fontId="0" fillId="0" borderId="0" xfId="2" applyFont="1" applyAlignment="1" applyProtection="1">
      <alignment horizontal="center"/>
      <protection locked="0"/>
    </xf>
    <xf numFmtId="9" fontId="0" fillId="7" borderId="0" xfId="2" applyFont="1" applyFill="1" applyAlignment="1" applyProtection="1">
      <protection locked="0"/>
    </xf>
    <xf numFmtId="9" fontId="0" fillId="7" borderId="0" xfId="0" applyNumberFormat="1" applyFill="1" applyProtection="1">
      <protection locked="0"/>
    </xf>
    <xf numFmtId="9" fontId="8" fillId="6" borderId="0" xfId="2" applyFont="1" applyFill="1" applyBorder="1" applyAlignment="1" applyProtection="1">
      <alignment horizontal="center"/>
      <protection locked="0"/>
    </xf>
    <xf numFmtId="3" fontId="5" fillId="0" borderId="0" xfId="0" applyNumberFormat="1" applyFont="1" applyAlignment="1" applyProtection="1">
      <alignment horizontal="center"/>
      <protection locked="0"/>
    </xf>
    <xf numFmtId="0" fontId="27" fillId="6" borderId="0" xfId="0" applyFont="1" applyFill="1" applyAlignment="1" applyProtection="1">
      <alignment horizontal="left"/>
      <protection locked="0"/>
    </xf>
    <xf numFmtId="9" fontId="5" fillId="9" borderId="4" xfId="2" applyFont="1" applyFill="1" applyBorder="1" applyAlignment="1" applyProtection="1">
      <alignment horizontal="center" vertical="center"/>
      <protection locked="0"/>
    </xf>
    <xf numFmtId="164" fontId="4" fillId="5" borderId="0" xfId="1" applyFont="1" applyFill="1" applyAlignment="1" applyProtection="1">
      <alignment vertical="center"/>
      <protection locked="0"/>
    </xf>
    <xf numFmtId="0" fontId="20" fillId="14" borderId="5" xfId="0" applyFont="1" applyFill="1" applyBorder="1" applyAlignment="1" applyProtection="1">
      <alignment horizontal="left" vertical="center" indent="1"/>
      <protection locked="0"/>
    </xf>
    <xf numFmtId="165" fontId="20" fillId="14" borderId="5" xfId="0" applyNumberFormat="1" applyFont="1" applyFill="1" applyBorder="1" applyAlignment="1" applyProtection="1">
      <alignment horizontal="center"/>
      <protection locked="0"/>
    </xf>
    <xf numFmtId="0" fontId="20" fillId="12" borderId="0" xfId="0" applyFont="1" applyFill="1" applyAlignment="1" applyProtection="1">
      <alignment horizontal="left" vertical="center" indent="1"/>
      <protection locked="0"/>
    </xf>
    <xf numFmtId="0" fontId="20" fillId="14" borderId="0" xfId="0" applyFont="1" applyFill="1" applyAlignment="1" applyProtection="1">
      <alignment horizontal="left" vertical="center" indent="1"/>
      <protection locked="0"/>
    </xf>
    <xf numFmtId="165" fontId="20" fillId="12" borderId="0" xfId="0" applyNumberFormat="1" applyFont="1" applyFill="1" applyAlignment="1" applyProtection="1">
      <alignment horizontal="left" indent="1"/>
      <protection locked="0"/>
    </xf>
    <xf numFmtId="165" fontId="20" fillId="12" borderId="0" xfId="0" applyNumberFormat="1" applyFont="1" applyFill="1" applyAlignment="1" applyProtection="1">
      <alignment horizontal="center" wrapText="1"/>
      <protection locked="0"/>
    </xf>
    <xf numFmtId="0" fontId="20" fillId="12" borderId="0" xfId="0" applyFont="1" applyFill="1" applyAlignment="1" applyProtection="1">
      <alignment horizontal="center"/>
      <protection locked="0"/>
    </xf>
    <xf numFmtId="165" fontId="20" fillId="14" borderId="0" xfId="0" applyNumberFormat="1" applyFont="1" applyFill="1" applyAlignment="1" applyProtection="1">
      <alignment horizontal="center"/>
      <protection locked="0"/>
    </xf>
    <xf numFmtId="1" fontId="8" fillId="12" borderId="0" xfId="0" applyNumberFormat="1" applyFont="1" applyFill="1" applyAlignment="1" applyProtection="1">
      <alignment horizontal="center"/>
      <protection locked="0"/>
    </xf>
    <xf numFmtId="0" fontId="8" fillId="12" borderId="0" xfId="0" applyFont="1" applyFill="1" applyAlignment="1" applyProtection="1">
      <alignment horizontal="left" indent="1"/>
      <protection locked="0"/>
    </xf>
    <xf numFmtId="165" fontId="8" fillId="12" borderId="0" xfId="0" applyNumberFormat="1" applyFont="1" applyFill="1" applyAlignment="1" applyProtection="1">
      <alignment horizontal="center"/>
      <protection locked="0"/>
    </xf>
    <xf numFmtId="0" fontId="27" fillId="2" borderId="0" xfId="0" applyFont="1" applyFill="1"/>
    <xf numFmtId="0" fontId="9" fillId="2" borderId="0" xfId="0" applyFont="1" applyFill="1" applyAlignment="1">
      <alignment horizontal="left"/>
    </xf>
    <xf numFmtId="0" fontId="19" fillId="2" borderId="0" xfId="0" applyFont="1" applyFill="1"/>
    <xf numFmtId="166" fontId="0" fillId="2" borderId="0" xfId="0" applyNumberFormat="1" applyFill="1"/>
    <xf numFmtId="0" fontId="9" fillId="11" borderId="0" xfId="0" applyFont="1" applyFill="1" applyAlignment="1">
      <alignment horizontal="center"/>
    </xf>
    <xf numFmtId="165" fontId="9" fillId="11" borderId="0" xfId="0" applyNumberFormat="1" applyFont="1" applyFill="1" applyAlignment="1">
      <alignment horizontal="center"/>
    </xf>
    <xf numFmtId="164" fontId="0" fillId="0" borderId="0" xfId="0" applyNumberFormat="1"/>
    <xf numFmtId="164" fontId="0" fillId="0" borderId="0" xfId="0" applyNumberFormat="1" applyAlignment="1">
      <alignment vertical="center"/>
    </xf>
    <xf numFmtId="164" fontId="19" fillId="0" borderId="0" xfId="0" applyNumberFormat="1" applyFont="1" applyAlignment="1">
      <alignment vertical="center"/>
    </xf>
    <xf numFmtId="0" fontId="27" fillId="6" borderId="0" xfId="0" applyFont="1" applyFill="1" applyAlignment="1">
      <alignment vertical="center"/>
    </xf>
    <xf numFmtId="0" fontId="27" fillId="6" borderId="0" xfId="0" applyFont="1" applyFill="1" applyProtection="1">
      <protection locked="0"/>
    </xf>
    <xf numFmtId="165" fontId="27" fillId="6" borderId="0" xfId="0" applyNumberFormat="1" applyFont="1" applyFill="1" applyProtection="1">
      <protection locked="0"/>
    </xf>
    <xf numFmtId="0" fontId="31" fillId="2" borderId="0" xfId="0" applyFont="1" applyFill="1" applyAlignment="1">
      <alignment horizontal="center"/>
    </xf>
  </cellXfs>
  <cellStyles count="3">
    <cellStyle name="Normal" xfId="0" builtinId="0"/>
    <cellStyle name="Porcentagem" xfId="2" builtinId="5"/>
    <cellStyle name="Vírgula" xfId="1" builtinId="3"/>
  </cellStyles>
  <dxfs count="30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fgColor rgb="FF000000"/>
          <bgColor rgb="FF262626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249977111117893"/>
        </patternFill>
      </fill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center" textRotation="0" wrapText="0" indent="1" justifyLastLine="0" shrinkToFit="0" readingOrder="0"/>
      <protection locked="0" hidden="0"/>
    </dxf>
    <dxf>
      <alignment horizontal="general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alignment horizontal="center" vertical="bottom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D0D0D0"/>
        <name val="Aptos Narrow"/>
        <family val="2"/>
        <scheme val="none"/>
      </font>
      <fill>
        <patternFill patternType="solid">
          <fgColor rgb="FF000000"/>
          <bgColor rgb="FF262626"/>
        </patternFill>
      </fill>
      <alignment horizontal="left" vertical="bottom" textRotation="0" wrapText="0" indent="1" justifyLastLine="0" shrinkToFit="0" readingOrder="0"/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left" vertical="bottom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fgColor indexed="64"/>
          <bgColor theme="1" tint="0.14999847407452621"/>
        </patternFill>
      </fill>
      <alignment horizontal="center" vertical="bottom" textRotation="0" wrapText="0" indent="0" justifyLastLine="0" shrinkToFit="0" readingOrder="0"/>
    </dxf>
    <dxf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0" hidden="0"/>
    </dxf>
    <dxf>
      <protection locked="0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numFmt numFmtId="165" formatCode="&quot;R$&quot;\ #,##0.00"/>
      <fill>
        <patternFill patternType="solid">
          <bgColor theme="1" tint="0.14999847407452621"/>
        </patternFill>
      </fill>
      <alignment horizontal="center" vertical="bottom" textRotation="0" wrapText="0" indent="0" justifyLastLine="0" shrinkToFit="0" readingOrder="0"/>
      <protection locked="0" hidden="0"/>
    </dxf>
    <dxf>
      <numFmt numFmtId="165" formatCode="&quot;R$&quot;\ #,##0.00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alignment horizontal="left" vertical="bottom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rgb="FFD0CECE"/>
        <name val="Calibri"/>
        <family val="2"/>
        <scheme val="none"/>
      </font>
      <fill>
        <patternFill patternType="solid">
          <bgColor rgb="FF262626"/>
        </patternFill>
      </fill>
      <protection locked="1" hidden="0"/>
    </dxf>
    <dxf>
      <font>
        <strike val="0"/>
        <outline val="0"/>
        <shadow val="0"/>
        <u val="none"/>
        <vertAlign val="baseline"/>
        <sz val="12"/>
        <color theme="2" tint="-9.9978637043366805E-2"/>
        <name val="Aptos Narrow"/>
        <family val="2"/>
        <scheme val="minor"/>
      </font>
      <fill>
        <patternFill patternType="solid">
          <bgColor theme="1" tint="0.14999847407452621"/>
        </patternFill>
      </fill>
      <protection locked="1" hidden="0"/>
    </dxf>
    <dxf>
      <font>
        <color theme="5" tint="0.39994506668294322"/>
      </font>
    </dxf>
    <dxf>
      <protection locked="0"/>
    </dxf>
    <dxf>
      <protection locked="0"/>
    </dxf>
    <dxf>
      <protection locked="0"/>
    </dxf>
    <dxf>
      <protection locked="0"/>
    </dxf>
    <dxf>
      <protection locked="1"/>
    </dxf>
    <dxf>
      <protection locked="1"/>
    </dxf>
    <dxf>
      <protection locked="1"/>
    </dxf>
    <dxf>
      <numFmt numFmtId="2" formatCode="0.00"/>
    </dxf>
    <dxf>
      <numFmt numFmtId="164" formatCode="_(* #,##0.00_);_(* \(#,##0.00\);_(* &quot;-&quot;??_);_(@_)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font>
        <color auto="1"/>
      </font>
    </dxf>
    <dxf>
      <font>
        <color auto="1"/>
      </font>
    </dxf>
    <dxf>
      <alignment horizontal="general"/>
    </dxf>
    <dxf>
      <alignment vertical="center"/>
    </dxf>
    <dxf>
      <protection locked="1"/>
    </dxf>
    <dxf>
      <protection locked="1"/>
    </dxf>
    <dxf>
      <numFmt numFmtId="164" formatCode="_(* #,##0.00_);_(* \(#,##0.00\);_(* &quot;-&quot;??_);_(@_)"/>
    </dxf>
    <dxf>
      <protection locked="0"/>
    </dxf>
    <dxf>
      <protection locked="0"/>
    </dxf>
    <dxf>
      <protection locked="1"/>
    </dxf>
    <dxf>
      <protection locked="1"/>
    </dxf>
    <dxf>
      <font>
        <color theme="0"/>
      </font>
    </dxf>
    <dxf>
      <font>
        <color theme="0"/>
      </font>
    </dxf>
    <dxf>
      <protection locked="0"/>
    </dxf>
    <dxf>
      <protection locked="0"/>
    </dxf>
    <dxf>
      <font>
        <color auto="1"/>
      </font>
    </dxf>
    <dxf>
      <font>
        <color auto="1"/>
      </font>
    </dxf>
    <dxf>
      <font>
        <color theme="0"/>
      </font>
      <numFmt numFmtId="0" formatCode="General"/>
      <fill>
        <patternFill patternType="solid">
          <fgColor theme="1"/>
          <bgColor theme="1"/>
        </patternFill>
      </fill>
    </dxf>
    <dxf>
      <font>
        <color theme="0"/>
      </font>
      <fill>
        <patternFill patternType="solid">
          <fgColor theme="1"/>
          <bgColor theme="1"/>
        </patternFill>
      </fill>
    </dxf>
    <dxf>
      <alignment horizontal="general"/>
    </dxf>
    <dxf>
      <alignment vertical="center"/>
    </dxf>
    <dxf>
      <protection locked="1"/>
    </dxf>
    <dxf>
      <protection locked="1"/>
    </dxf>
    <dxf>
      <numFmt numFmtId="164" formatCode="_(* #,##0.00_);_(* \(#,##0.00\);_(* &quot;-&quot;??_);_(@_)"/>
    </dxf>
    <dxf>
      <protection locked="0"/>
    </dxf>
    <dxf>
      <protection locked="0"/>
    </dxf>
    <dxf>
      <font>
        <color theme="0"/>
      </font>
    </dxf>
    <dxf>
      <font>
        <color theme="0"/>
      </font>
    </dxf>
    <dxf>
      <protection locked="0"/>
    </dxf>
    <dxf>
      <protection locked="0"/>
    </dxf>
    <dxf>
      <protection locked="0"/>
    </dxf>
    <dxf>
      <numFmt numFmtId="165" formatCode="&quot;R$&quot;\ #,##0.00"/>
    </dxf>
    <dxf>
      <font>
        <color theme="0"/>
      </font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font>
        <color theme="0"/>
      </font>
      <fill>
        <patternFill patternType="solid">
          <fgColor theme="1"/>
          <bgColor theme="1"/>
        </patternFill>
      </fill>
      <alignment horizontal="general" vertical="bottom" textRotation="0" wrapText="0" indent="0" justifyLastLine="0" shrinkToFit="0" readingOrder="0"/>
    </dxf>
    <dxf>
      <protection locked="1"/>
    </dxf>
    <dxf>
      <numFmt numFmtId="164" formatCode="_(* #,##0.00_);_(* \(#,##0.00\);_(* &quot;-&quot;??_);_(@_)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protection locked="0"/>
    </dxf>
    <dxf>
      <numFmt numFmtId="164" formatCode="_(* #,##0.00_);_(* \(#,##0.00\);_(* &quot;-&quot;??_);_(@_)"/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 patternType="solid">
          <fgColor rgb="FF0A0D80"/>
          <bgColor theme="1"/>
        </patternFill>
      </fill>
      <border diagonalUp="0" diagonalDown="0">
        <left/>
        <right/>
        <top/>
        <bottom/>
        <vertical/>
        <horizontal/>
      </border>
    </dxf>
    <dxf>
      <font>
        <color theme="0"/>
      </font>
      <fill>
        <patternFill patternType="solid">
          <fgColor rgb="FF0A0D80"/>
          <bgColor theme="1"/>
        </patternFill>
      </fill>
      <border diagonalUp="0" diagonalDown="0">
        <left/>
        <right/>
        <top/>
        <bottom/>
        <vertical/>
        <horizontal/>
      </border>
    </dxf>
  </dxfs>
  <tableStyles count="2" defaultTableStyle="TableStyleMedium2" defaultPivotStyle="PivotStyleLight16">
    <tableStyle name="Personalizado" pivot="0" table="0" count="9" xr9:uid="{BE22BC65-3DF0-4B66-A3FA-B83E372A6AFD}">
      <tableStyleElement type="wholeTable" dxfId="304"/>
    </tableStyle>
    <tableStyle name="Personalizado 2" pivot="0" table="0" count="9" xr9:uid="{B588C263-27AD-4A9C-B8BB-E292023D9D2C}">
      <tableStyleElement type="wholeTable" dxfId="303"/>
    </tableStyle>
  </tableStyles>
  <colors>
    <mruColors>
      <color rgb="FF156082"/>
      <color rgb="FF3D3F50"/>
      <color rgb="FF222A35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Personalizado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Personalizado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7/relationships/slicerCache" Target="slicerCaches/slicerCach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2.6041666666666668E-2"/>
          <c:w val="0.97317334894156671"/>
          <c:h val="0.96180555555555558"/>
        </c:manualLayout>
      </c:layout>
      <c:bubbleChart>
        <c:varyColors val="0"/>
        <c:ser>
          <c:idx val="0"/>
          <c:order val="0"/>
          <c:tx>
            <c:v>Grafico</c:v>
          </c:tx>
          <c:spPr>
            <a:gradFill flip="none" rotWithShape="1">
              <a:gsLst>
                <a:gs pos="34000">
                  <a:srgbClr val="100D83"/>
                </a:gs>
                <a:gs pos="79000">
                  <a:srgbClr val="7417BD"/>
                </a:gs>
              </a:gsLst>
              <a:path path="circle">
                <a:fillToRect l="100000" t="100000"/>
              </a:path>
              <a:tileRect r="-100000" b="-100000"/>
            </a:gradFill>
            <a:ln w="25400">
              <a:noFill/>
            </a:ln>
            <a:effectLst>
              <a:outerShdw blurRad="127000" sx="109000" sy="109000" algn="ctr" rotWithShape="0">
                <a:srgbClr val="7417BD">
                  <a:alpha val="80000"/>
                </a:srgbClr>
              </a:outerShdw>
            </a:effectLst>
          </c:spPr>
          <c:invertIfNegative val="0"/>
          <c:xVal>
            <c:numRef>
              <c:f>Tabelas!$B$44:$B$52</c:f>
              <c:numCache>
                <c:formatCode>General</c:formatCode>
                <c:ptCount val="9"/>
                <c:pt idx="0">
                  <c:v>1</c:v>
                </c:pt>
                <c:pt idx="1">
                  <c:v>6.5</c:v>
                </c:pt>
                <c:pt idx="3">
                  <c:v>3.3</c:v>
                </c:pt>
                <c:pt idx="4">
                  <c:v>6</c:v>
                </c:pt>
              </c:numCache>
            </c:numRef>
          </c:xVal>
          <c:yVal>
            <c:numRef>
              <c:f>Tabelas!$C$44:$C$52</c:f>
              <c:numCache>
                <c:formatCode>General</c:formatCode>
                <c:ptCount val="9"/>
                <c:pt idx="0">
                  <c:v>3</c:v>
                </c:pt>
                <c:pt idx="1">
                  <c:v>2.2000000000000002</c:v>
                </c:pt>
                <c:pt idx="3">
                  <c:v>9</c:v>
                </c:pt>
                <c:pt idx="4">
                  <c:v>8</c:v>
                </c:pt>
              </c:numCache>
            </c:numRef>
          </c:yVal>
          <c:bubbleSize>
            <c:numRef>
              <c:f>Tabelas!$D$44:$D$52</c:f>
              <c:numCache>
                <c:formatCode>General</c:formatCode>
                <c:ptCount val="9"/>
                <c:pt idx="0">
                  <c:v>115</c:v>
                </c:pt>
                <c:pt idx="1">
                  <c:v>111</c:v>
                </c:pt>
                <c:pt idx="3">
                  <c:v>240</c:v>
                </c:pt>
                <c:pt idx="4">
                  <c:v>280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0-7901-44BC-B72E-F27AE5124499}"/>
            </c:ext>
          </c:extLst>
        </c:ser>
        <c:ser>
          <c:idx val="1"/>
          <c:order val="1"/>
          <c:tx>
            <c:v>Max</c:v>
          </c:tx>
          <c:spPr>
            <a:gradFill>
              <a:gsLst>
                <a:gs pos="54000">
                  <a:srgbClr val="DD115E"/>
                </a:gs>
                <a:gs pos="100000">
                  <a:schemeClr val="accent1">
                    <a:lumMod val="30000"/>
                    <a:lumOff val="70000"/>
                  </a:schemeClr>
                </a:gs>
              </a:gsLst>
              <a:lin ang="10800000" scaled="0"/>
            </a:gradFill>
            <a:ln w="25400">
              <a:noFill/>
            </a:ln>
            <a:effectLst>
              <a:outerShdw blurRad="152400" sx="105000" sy="105000" algn="ctr" rotWithShape="0">
                <a:srgbClr val="DD115E">
                  <a:alpha val="88000"/>
                </a:srgbClr>
              </a:outerShdw>
            </a:effectLst>
          </c:spPr>
          <c:invertIfNegative val="0"/>
          <c:xVal>
            <c:numRef>
              <c:f>Tabelas!$B$44:$B$52</c:f>
              <c:numCache>
                <c:formatCode>General</c:formatCode>
                <c:ptCount val="9"/>
                <c:pt idx="0">
                  <c:v>1</c:v>
                </c:pt>
                <c:pt idx="1">
                  <c:v>6.5</c:v>
                </c:pt>
                <c:pt idx="3">
                  <c:v>3.3</c:v>
                </c:pt>
                <c:pt idx="4">
                  <c:v>6</c:v>
                </c:pt>
              </c:numCache>
            </c:numRef>
          </c:xVal>
          <c:yVal>
            <c:numRef>
              <c:f>Tabelas!$C$44:$C$52</c:f>
              <c:numCache>
                <c:formatCode>General</c:formatCode>
                <c:ptCount val="9"/>
                <c:pt idx="0">
                  <c:v>3</c:v>
                </c:pt>
                <c:pt idx="1">
                  <c:v>2.2000000000000002</c:v>
                </c:pt>
                <c:pt idx="3">
                  <c:v>9</c:v>
                </c:pt>
                <c:pt idx="4">
                  <c:v>8</c:v>
                </c:pt>
              </c:numCache>
            </c:numRef>
          </c:yVal>
          <c:bubbleSize>
            <c:numRef>
              <c:f>Tabelas!$E$44:$E$52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280</c:v>
                </c:pt>
              </c:numCache>
            </c:numRef>
          </c:bubbleSize>
          <c:bubble3D val="0"/>
          <c:extLst>
            <c:ext xmlns:c16="http://schemas.microsoft.com/office/drawing/2014/chart" uri="{C3380CC4-5D6E-409C-BE32-E72D297353CC}">
              <c16:uniqueId val="{00000001-7901-44BC-B72E-F27AE5124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bubbleScale val="70"/>
        <c:showNegBubbles val="0"/>
        <c:axId val="2000757808"/>
        <c:axId val="2000890768"/>
      </c:bubbleChart>
      <c:valAx>
        <c:axId val="2000757808"/>
        <c:scaling>
          <c:orientation val="minMax"/>
          <c:max val="10"/>
          <c:min val="0"/>
        </c:scaling>
        <c:delete val="1"/>
        <c:axPos val="b"/>
        <c:numFmt formatCode="General" sourceLinked="1"/>
        <c:majorTickMark val="none"/>
        <c:minorTickMark val="none"/>
        <c:tickLblPos val="nextTo"/>
        <c:crossAx val="2000890768"/>
        <c:crosses val="autoZero"/>
        <c:crossBetween val="midCat"/>
      </c:valAx>
      <c:valAx>
        <c:axId val="2000890768"/>
        <c:scaling>
          <c:orientation val="minMax"/>
          <c:max val="10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2000757808"/>
        <c:crosses val="autoZero"/>
        <c:crossBetween val="midCat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/>
                </a:gs>
                <a:gs pos="27000">
                  <a:srgbClr val="9BF8F2"/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Tabelas!$B$36:$B$39</c:f>
              <c:strCache>
                <c:ptCount val="4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</c:strCache>
            </c:strRef>
          </c:cat>
          <c:val>
            <c:numRef>
              <c:f>Tabelas!$E$36:$E$39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55-46E9-BFEF-A937A658AC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0"/>
        <c:axId val="2000611936"/>
        <c:axId val="1999977072"/>
      </c:barChart>
      <c:catAx>
        <c:axId val="20006119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9977072"/>
        <c:crosses val="autoZero"/>
        <c:auto val="1"/>
        <c:lblAlgn val="ctr"/>
        <c:lblOffset val="100"/>
        <c:noMultiLvlLbl val="0"/>
      </c:catAx>
      <c:valAx>
        <c:axId val="1999977072"/>
        <c:scaling>
          <c:orientation val="minMax"/>
        </c:scaling>
        <c:delete val="1"/>
        <c:axPos val="t"/>
        <c:numFmt formatCode="General" sourceLinked="1"/>
        <c:majorTickMark val="none"/>
        <c:minorTickMark val="none"/>
        <c:tickLblPos val="nextTo"/>
        <c:crossAx val="20006119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18798366536564E-2"/>
          <c:y val="1.7654086342655449E-2"/>
          <c:w val="0.75101707916882898"/>
          <c:h val="0.7209488918051910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Personalização!$D$6</c:f>
              <c:strCache>
                <c:ptCount val="1"/>
                <c:pt idx="0">
                  <c:v>Contador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tx1"/>
              </a:solidFill>
              <a:ln w="82550" cmpd="sng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F79-44D5-B382-B580AB976131}"/>
              </c:ext>
            </c:extLst>
          </c:dPt>
          <c:dLbls>
            <c:delete val="1"/>
          </c:dLbls>
          <c:val>
            <c:numRef>
              <c:f>Personalização!$D$7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F79-44D5-B382-B580AB97613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0"/>
        <c:overlap val="-43"/>
        <c:axId val="1197407568"/>
        <c:axId val="1197403600"/>
      </c:barChart>
      <c:catAx>
        <c:axId val="1197407568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1197403600"/>
        <c:crossesAt val="0"/>
        <c:auto val="1"/>
        <c:lblAlgn val="ctr"/>
        <c:lblOffset val="100"/>
        <c:noMultiLvlLbl val="0"/>
      </c:catAx>
      <c:valAx>
        <c:axId val="1197403600"/>
        <c:scaling>
          <c:orientation val="minMax"/>
          <c:max val="150"/>
        </c:scaling>
        <c:delete val="1"/>
        <c:axPos val="l"/>
        <c:numFmt formatCode="General" sourceLinked="1"/>
        <c:majorTickMark val="out"/>
        <c:minorTickMark val="none"/>
        <c:tickLblPos val="nextTo"/>
        <c:crossAx val="1197407568"/>
        <c:crosses val="autoZero"/>
        <c:crossBetween val="between"/>
        <c:majorUnit val="10"/>
      </c:valAx>
      <c:spPr>
        <a:noFill/>
        <a:ln w="41275">
          <a:solidFill>
            <a:schemeClr val="tx1"/>
          </a:solidFill>
        </a:ln>
        <a:effectLst>
          <a:outerShdw blurRad="50800" dist="50800" dir="5400000" algn="ctr" rotWithShape="0">
            <a:schemeClr val="tx1"/>
          </a:outerShdw>
        </a:effectLst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ndard"/>
        <c:varyColors val="0"/>
        <c:ser>
          <c:idx val="1"/>
          <c:order val="1"/>
          <c:spPr>
            <a:gradFill>
              <a:gsLst>
                <a:gs pos="32000">
                  <a:srgbClr val="194AFE">
                    <a:alpha val="83000"/>
                  </a:srgbClr>
                </a:gs>
                <a:gs pos="100000">
                  <a:srgbClr val="194AFE">
                    <a:alpha val="0"/>
                  </a:srgbClr>
                </a:gs>
              </a:gsLst>
              <a:lin ang="5400000" scaled="1"/>
            </a:gradFill>
            <a:ln>
              <a:noFill/>
            </a:ln>
            <a:effectLst/>
          </c:spPr>
          <c:cat>
            <c:strRef>
              <c:f>Tabelas!$B$36:$B$41</c:f>
              <c:strCache>
                <c:ptCount val="6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  <c:pt idx="4">
                  <c:v>Out</c:v>
                </c:pt>
                <c:pt idx="5">
                  <c:v>Set</c:v>
                </c:pt>
              </c:strCache>
            </c:strRef>
          </c:cat>
          <c:val>
            <c:numRef>
              <c:f>Tabelas!$D$36:$D$41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BC-411D-B4BA-A2FF67711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891136"/>
        <c:axId val="875827632"/>
      </c:areaChart>
      <c:lineChart>
        <c:grouping val="standard"/>
        <c:varyColors val="0"/>
        <c:ser>
          <c:idx val="0"/>
          <c:order val="0"/>
          <c:spPr>
            <a:ln w="15875" cap="rnd">
              <a:solidFill>
                <a:srgbClr val="194AFE"/>
              </a:solidFill>
              <a:round/>
            </a:ln>
            <a:effectLst/>
          </c:spPr>
          <c:marker>
            <c:symbol val="none"/>
          </c:marker>
          <c:cat>
            <c:strRef>
              <c:f>Tabelas!$B$36:$B$41</c:f>
              <c:strCache>
                <c:ptCount val="6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  <c:pt idx="4">
                  <c:v>Out</c:v>
                </c:pt>
                <c:pt idx="5">
                  <c:v>Set</c:v>
                </c:pt>
              </c:strCache>
            </c:strRef>
          </c:cat>
          <c:val>
            <c:numRef>
              <c:f>Tabelas!$C$36:$C$41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BC-411D-B4BA-A2FF677118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75891136"/>
        <c:axId val="875827632"/>
      </c:lineChart>
      <c:catAx>
        <c:axId val="875891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75827632"/>
        <c:crosses val="autoZero"/>
        <c:auto val="1"/>
        <c:lblAlgn val="ctr"/>
        <c:lblOffset val="100"/>
        <c:noMultiLvlLbl val="0"/>
      </c:catAx>
      <c:valAx>
        <c:axId val="87582763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58911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046994125734283"/>
          <c:y val="6.0109289617486336E-2"/>
          <c:w val="0.58699037620297467"/>
          <c:h val="0.8797814207650273"/>
        </c:manualLayout>
      </c:layout>
      <c:barChart>
        <c:barDir val="bar"/>
        <c:grouping val="clustered"/>
        <c:varyColors val="1"/>
        <c:ser>
          <c:idx val="0"/>
          <c:order val="0"/>
          <c:spPr>
            <a:gradFill>
              <a:gsLst>
                <a:gs pos="81000">
                  <a:srgbClr val="C240D8"/>
                </a:gs>
                <a:gs pos="27000">
                  <a:srgbClr val="9BF8F2"/>
                </a:gs>
              </a:gsLst>
              <a:lin ang="0" scaled="1"/>
            </a:gradFill>
          </c:spPr>
          <c:invertIfNegative val="1"/>
          <c:dPt>
            <c:idx val="0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CD3-48F6-8D13-5C24E6E33A4B}"/>
              </c:ext>
            </c:extLst>
          </c:dPt>
          <c:dPt>
            <c:idx val="1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CD3-48F6-8D13-5C24E6E33A4B}"/>
              </c:ext>
            </c:extLst>
          </c:dPt>
          <c:dPt>
            <c:idx val="2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CD3-48F6-8D13-5C24E6E33A4B}"/>
              </c:ext>
            </c:extLst>
          </c:dPt>
          <c:dPt>
            <c:idx val="3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CD3-48F6-8D13-5C24E6E33A4B}"/>
              </c:ext>
            </c:extLst>
          </c:dPt>
          <c:dPt>
            <c:idx val="4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CD3-48F6-8D13-5C24E6E33A4B}"/>
              </c:ext>
            </c:extLst>
          </c:dPt>
          <c:dPt>
            <c:idx val="5"/>
            <c:invertIfNegative val="1"/>
            <c:bubble3D val="0"/>
            <c:spPr>
              <a:gradFill>
                <a:gsLst>
                  <a:gs pos="81000">
                    <a:srgbClr val="C240D8"/>
                  </a:gs>
                  <a:gs pos="27000">
                    <a:srgbClr val="9BF8F2"/>
                  </a:gs>
                </a:gsLst>
                <a:lin ang="0" scaled="1"/>
              </a:gra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CD3-48F6-8D13-5C24E6E33A4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Tabelas!$J$36:$J$41</c:f>
              <c:strCache>
                <c:ptCount val="6"/>
                <c:pt idx="0">
                  <c:v>Fev</c:v>
                </c:pt>
                <c:pt idx="1">
                  <c:v>Jan</c:v>
                </c:pt>
                <c:pt idx="2">
                  <c:v>Dez</c:v>
                </c:pt>
                <c:pt idx="3">
                  <c:v>Nov</c:v>
                </c:pt>
                <c:pt idx="4">
                  <c:v>Out</c:v>
                </c:pt>
                <c:pt idx="5">
                  <c:v>Set</c:v>
                </c:pt>
              </c:strCache>
            </c:strRef>
          </c:cat>
          <c:val>
            <c:numRef>
              <c:f>Tabelas!$M$36:$M$41</c:f>
              <c:numCache>
                <c:formatCode>#,##0</c:formatCode>
                <c:ptCount val="6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CD3-48F6-8D13-5C24E6E33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0"/>
        <c:axId val="2000611936"/>
        <c:axId val="1999977072"/>
      </c:barChart>
      <c:catAx>
        <c:axId val="200061193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9977072"/>
        <c:crosses val="autoZero"/>
        <c:auto val="1"/>
        <c:lblAlgn val="ctr"/>
        <c:lblOffset val="100"/>
        <c:noMultiLvlLbl val="0"/>
      </c:catAx>
      <c:valAx>
        <c:axId val="1999977072"/>
        <c:scaling>
          <c:orientation val="minMax"/>
        </c:scaling>
        <c:delete val="1"/>
        <c:axPos val="t"/>
        <c:numFmt formatCode="#,##0" sourceLinked="1"/>
        <c:majorTickMark val="none"/>
        <c:minorTickMark val="none"/>
        <c:tickLblPos val="nextTo"/>
        <c:crossAx val="200061193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gradFill>
              <a:gsLst>
                <a:gs pos="0">
                  <a:srgbClr val="DC25FA"/>
                </a:gs>
                <a:gs pos="61000">
                  <a:srgbClr val="9947F7"/>
                </a:gs>
              </a:gsLst>
              <a:lin ang="5400000" scaled="0"/>
            </a:gradFill>
            <a:ln w="146050">
              <a:solidFill>
                <a:schemeClr val="tx1"/>
              </a:solidFill>
            </a:ln>
          </c:spPr>
          <c:dPt>
            <c:idx val="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762-47D2-AA2A-A4711073D9A0}"/>
              </c:ext>
            </c:extLst>
          </c:dPt>
          <c:dPt>
            <c:idx val="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762-47D2-AA2A-A4711073D9A0}"/>
              </c:ext>
            </c:extLst>
          </c:dPt>
          <c:dPt>
            <c:idx val="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762-47D2-AA2A-A4711073D9A0}"/>
              </c:ext>
            </c:extLst>
          </c:dPt>
          <c:dPt>
            <c:idx val="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762-47D2-AA2A-A4711073D9A0}"/>
              </c:ext>
            </c:extLst>
          </c:dPt>
          <c:dPt>
            <c:idx val="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762-47D2-AA2A-A4711073D9A0}"/>
              </c:ext>
            </c:extLst>
          </c:dPt>
          <c:dPt>
            <c:idx val="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762-47D2-AA2A-A4711073D9A0}"/>
              </c:ext>
            </c:extLst>
          </c:dPt>
          <c:dPt>
            <c:idx val="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762-47D2-AA2A-A4711073D9A0}"/>
              </c:ext>
            </c:extLst>
          </c:dPt>
          <c:dPt>
            <c:idx val="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762-47D2-AA2A-A4711073D9A0}"/>
              </c:ext>
            </c:extLst>
          </c:dPt>
          <c:dPt>
            <c:idx val="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762-47D2-AA2A-A4711073D9A0}"/>
              </c:ext>
            </c:extLst>
          </c:dPt>
          <c:dPt>
            <c:idx val="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762-47D2-AA2A-A4711073D9A0}"/>
              </c:ext>
            </c:extLst>
          </c:dPt>
          <c:dPt>
            <c:idx val="1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762-47D2-AA2A-A4711073D9A0}"/>
              </c:ext>
            </c:extLst>
          </c:dPt>
          <c:dPt>
            <c:idx val="1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762-47D2-AA2A-A4711073D9A0}"/>
              </c:ext>
            </c:extLst>
          </c:dPt>
          <c:dPt>
            <c:idx val="1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762-47D2-AA2A-A4711073D9A0}"/>
              </c:ext>
            </c:extLst>
          </c:dPt>
          <c:dPt>
            <c:idx val="1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762-47D2-AA2A-A4711073D9A0}"/>
              </c:ext>
            </c:extLst>
          </c:dPt>
          <c:dPt>
            <c:idx val="1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762-47D2-AA2A-A4711073D9A0}"/>
              </c:ext>
            </c:extLst>
          </c:dPt>
          <c:dPt>
            <c:idx val="1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762-47D2-AA2A-A4711073D9A0}"/>
              </c:ext>
            </c:extLst>
          </c:dPt>
          <c:dPt>
            <c:idx val="1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762-47D2-AA2A-A4711073D9A0}"/>
              </c:ext>
            </c:extLst>
          </c:dPt>
          <c:dPt>
            <c:idx val="1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3-8762-47D2-AA2A-A4711073D9A0}"/>
              </c:ext>
            </c:extLst>
          </c:dPt>
          <c:dPt>
            <c:idx val="1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5-8762-47D2-AA2A-A4711073D9A0}"/>
              </c:ext>
            </c:extLst>
          </c:dPt>
          <c:dPt>
            <c:idx val="1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7-8762-47D2-AA2A-A4711073D9A0}"/>
              </c:ext>
            </c:extLst>
          </c:dPt>
          <c:dPt>
            <c:idx val="2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9-8762-47D2-AA2A-A4711073D9A0}"/>
              </c:ext>
            </c:extLst>
          </c:dPt>
          <c:dPt>
            <c:idx val="2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B-8762-47D2-AA2A-A4711073D9A0}"/>
              </c:ext>
            </c:extLst>
          </c:dPt>
          <c:dPt>
            <c:idx val="2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D-8762-47D2-AA2A-A4711073D9A0}"/>
              </c:ext>
            </c:extLst>
          </c:dPt>
          <c:dPt>
            <c:idx val="2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F-8762-47D2-AA2A-A4711073D9A0}"/>
              </c:ext>
            </c:extLst>
          </c:dPt>
          <c:dPt>
            <c:idx val="2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1-8762-47D2-AA2A-A4711073D9A0}"/>
              </c:ext>
            </c:extLst>
          </c:dPt>
          <c:dPt>
            <c:idx val="2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3-8762-47D2-AA2A-A4711073D9A0}"/>
              </c:ext>
            </c:extLst>
          </c:dPt>
          <c:dPt>
            <c:idx val="2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5-8762-47D2-AA2A-A4711073D9A0}"/>
              </c:ext>
            </c:extLst>
          </c:dPt>
          <c:dPt>
            <c:idx val="2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7-8762-47D2-AA2A-A4711073D9A0}"/>
              </c:ext>
            </c:extLst>
          </c:dPt>
          <c:dPt>
            <c:idx val="2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9-8762-47D2-AA2A-A4711073D9A0}"/>
              </c:ext>
            </c:extLst>
          </c:dPt>
          <c:dPt>
            <c:idx val="2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B-8762-47D2-AA2A-A4711073D9A0}"/>
              </c:ext>
            </c:extLst>
          </c:dPt>
          <c:dPt>
            <c:idx val="3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D-8762-47D2-AA2A-A4711073D9A0}"/>
              </c:ext>
            </c:extLst>
          </c:dPt>
          <c:dPt>
            <c:idx val="3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3F-8762-47D2-AA2A-A4711073D9A0}"/>
              </c:ext>
            </c:extLst>
          </c:dPt>
          <c:dPt>
            <c:idx val="3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1-8762-47D2-AA2A-A4711073D9A0}"/>
              </c:ext>
            </c:extLst>
          </c:dPt>
          <c:dPt>
            <c:idx val="3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3-8762-47D2-AA2A-A4711073D9A0}"/>
              </c:ext>
            </c:extLst>
          </c:dPt>
          <c:dPt>
            <c:idx val="3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5-8762-47D2-AA2A-A4711073D9A0}"/>
              </c:ext>
            </c:extLst>
          </c:dPt>
          <c:dPt>
            <c:idx val="3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7-8762-47D2-AA2A-A4711073D9A0}"/>
              </c:ext>
            </c:extLst>
          </c:dPt>
          <c:dPt>
            <c:idx val="3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9-8762-47D2-AA2A-A4711073D9A0}"/>
              </c:ext>
            </c:extLst>
          </c:dPt>
          <c:dPt>
            <c:idx val="3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B-8762-47D2-AA2A-A4711073D9A0}"/>
              </c:ext>
            </c:extLst>
          </c:dPt>
          <c:dPt>
            <c:idx val="3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D-8762-47D2-AA2A-A4711073D9A0}"/>
              </c:ext>
            </c:extLst>
          </c:dPt>
          <c:dPt>
            <c:idx val="3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4F-8762-47D2-AA2A-A4711073D9A0}"/>
              </c:ext>
            </c:extLst>
          </c:dPt>
          <c:dPt>
            <c:idx val="4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1-8762-47D2-AA2A-A4711073D9A0}"/>
              </c:ext>
            </c:extLst>
          </c:dPt>
          <c:dPt>
            <c:idx val="4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3-8762-47D2-AA2A-A4711073D9A0}"/>
              </c:ext>
            </c:extLst>
          </c:dPt>
          <c:dPt>
            <c:idx val="4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5-8762-47D2-AA2A-A4711073D9A0}"/>
              </c:ext>
            </c:extLst>
          </c:dPt>
          <c:dPt>
            <c:idx val="4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7-8762-47D2-AA2A-A4711073D9A0}"/>
              </c:ext>
            </c:extLst>
          </c:dPt>
          <c:dPt>
            <c:idx val="4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9-8762-47D2-AA2A-A4711073D9A0}"/>
              </c:ext>
            </c:extLst>
          </c:dPt>
          <c:dPt>
            <c:idx val="4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B-8762-47D2-AA2A-A4711073D9A0}"/>
              </c:ext>
            </c:extLst>
          </c:dPt>
          <c:dPt>
            <c:idx val="4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D-8762-47D2-AA2A-A4711073D9A0}"/>
              </c:ext>
            </c:extLst>
          </c:dPt>
          <c:dPt>
            <c:idx val="4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5F-8762-47D2-AA2A-A4711073D9A0}"/>
              </c:ext>
            </c:extLst>
          </c:dPt>
          <c:dPt>
            <c:idx val="48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1-8762-47D2-AA2A-A4711073D9A0}"/>
              </c:ext>
            </c:extLst>
          </c:dPt>
          <c:dPt>
            <c:idx val="49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3-8762-47D2-AA2A-A4711073D9A0}"/>
              </c:ext>
            </c:extLst>
          </c:dPt>
          <c:dPt>
            <c:idx val="50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5-8762-47D2-AA2A-A4711073D9A0}"/>
              </c:ext>
            </c:extLst>
          </c:dPt>
          <c:dPt>
            <c:idx val="51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7-8762-47D2-AA2A-A4711073D9A0}"/>
              </c:ext>
            </c:extLst>
          </c:dPt>
          <c:dPt>
            <c:idx val="52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9-8762-47D2-AA2A-A4711073D9A0}"/>
              </c:ext>
            </c:extLst>
          </c:dPt>
          <c:dPt>
            <c:idx val="53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B-8762-47D2-AA2A-A4711073D9A0}"/>
              </c:ext>
            </c:extLst>
          </c:dPt>
          <c:dPt>
            <c:idx val="54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D-8762-47D2-AA2A-A4711073D9A0}"/>
              </c:ext>
            </c:extLst>
          </c:dPt>
          <c:dPt>
            <c:idx val="55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6F-8762-47D2-AA2A-A4711073D9A0}"/>
              </c:ext>
            </c:extLst>
          </c:dPt>
          <c:dPt>
            <c:idx val="56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1-8762-47D2-AA2A-A4711073D9A0}"/>
              </c:ext>
            </c:extLst>
          </c:dPt>
          <c:dPt>
            <c:idx val="57"/>
            <c:bubble3D val="0"/>
            <c:spPr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 w="146050">
                <a:solidFill>
                  <a:schemeClr val="tx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73-8762-47D2-AA2A-A4711073D9A0}"/>
              </c:ext>
            </c:extLst>
          </c:dPt>
          <c:val>
            <c:numLit>
              <c:formatCode>General</c:formatCode>
              <c:ptCount val="58"/>
              <c:pt idx="0">
                <c:v>1</c:v>
              </c:pt>
              <c:pt idx="1">
                <c:v>1</c:v>
              </c:pt>
              <c:pt idx="2">
                <c:v>1</c:v>
              </c:pt>
              <c:pt idx="3">
                <c:v>1</c:v>
              </c:pt>
              <c:pt idx="4">
                <c:v>1</c:v>
              </c:pt>
              <c:pt idx="5">
                <c:v>1</c:v>
              </c:pt>
              <c:pt idx="6">
                <c:v>1</c:v>
              </c:pt>
              <c:pt idx="7">
                <c:v>1</c:v>
              </c:pt>
              <c:pt idx="8">
                <c:v>1</c:v>
              </c:pt>
              <c:pt idx="9">
                <c:v>1</c:v>
              </c:pt>
              <c:pt idx="10">
                <c:v>1</c:v>
              </c:pt>
              <c:pt idx="11">
                <c:v>1</c:v>
              </c:pt>
              <c:pt idx="12">
                <c:v>1</c:v>
              </c:pt>
              <c:pt idx="13">
                <c:v>1</c:v>
              </c:pt>
              <c:pt idx="14">
                <c:v>1</c:v>
              </c:pt>
              <c:pt idx="15">
                <c:v>1</c:v>
              </c:pt>
              <c:pt idx="16">
                <c:v>1</c:v>
              </c:pt>
              <c:pt idx="17">
                <c:v>1</c:v>
              </c:pt>
              <c:pt idx="18">
                <c:v>1</c:v>
              </c:pt>
              <c:pt idx="19">
                <c:v>1</c:v>
              </c:pt>
              <c:pt idx="20">
                <c:v>1</c:v>
              </c:pt>
              <c:pt idx="21">
                <c:v>1</c:v>
              </c:pt>
              <c:pt idx="22">
                <c:v>1</c:v>
              </c:pt>
              <c:pt idx="23">
                <c:v>1</c:v>
              </c:pt>
              <c:pt idx="24">
                <c:v>1</c:v>
              </c:pt>
              <c:pt idx="25">
                <c:v>1</c:v>
              </c:pt>
              <c:pt idx="26">
                <c:v>1</c:v>
              </c:pt>
              <c:pt idx="27">
                <c:v>1</c:v>
              </c:pt>
              <c:pt idx="28">
                <c:v>1</c:v>
              </c:pt>
              <c:pt idx="29">
                <c:v>1</c:v>
              </c:pt>
              <c:pt idx="30">
                <c:v>1</c:v>
              </c:pt>
              <c:pt idx="31">
                <c:v>1</c:v>
              </c:pt>
              <c:pt idx="32">
                <c:v>1</c:v>
              </c:pt>
              <c:pt idx="33">
                <c:v>1</c:v>
              </c:pt>
              <c:pt idx="34">
                <c:v>1</c:v>
              </c:pt>
              <c:pt idx="35">
                <c:v>1</c:v>
              </c:pt>
              <c:pt idx="36">
                <c:v>1</c:v>
              </c:pt>
              <c:pt idx="37">
                <c:v>1</c:v>
              </c:pt>
              <c:pt idx="38">
                <c:v>1</c:v>
              </c:pt>
              <c:pt idx="39">
                <c:v>1</c:v>
              </c:pt>
              <c:pt idx="40">
                <c:v>1</c:v>
              </c:pt>
              <c:pt idx="41">
                <c:v>1</c:v>
              </c:pt>
              <c:pt idx="42">
                <c:v>1</c:v>
              </c:pt>
              <c:pt idx="43">
                <c:v>1</c:v>
              </c:pt>
              <c:pt idx="44">
                <c:v>1</c:v>
              </c:pt>
              <c:pt idx="45">
                <c:v>1</c:v>
              </c:pt>
              <c:pt idx="46">
                <c:v>1</c:v>
              </c:pt>
              <c:pt idx="47">
                <c:v>1</c:v>
              </c:pt>
              <c:pt idx="48">
                <c:v>1</c:v>
              </c:pt>
              <c:pt idx="49">
                <c:v>1</c:v>
              </c:pt>
              <c:pt idx="50">
                <c:v>1</c:v>
              </c:pt>
              <c:pt idx="51">
                <c:v>1</c:v>
              </c:pt>
              <c:pt idx="52">
                <c:v>1</c:v>
              </c:pt>
              <c:pt idx="53">
                <c:v>1</c:v>
              </c:pt>
              <c:pt idx="54">
                <c:v>1</c:v>
              </c:pt>
              <c:pt idx="55">
                <c:v>1</c:v>
              </c:pt>
              <c:pt idx="56">
                <c:v>1</c:v>
              </c:pt>
              <c:pt idx="57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74-8762-47D2-AA2A-A4711073D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doughnutChart>
        <c:varyColors val="1"/>
        <c:ser>
          <c:idx val="1"/>
          <c:order val="1"/>
          <c:tx>
            <c:v>Porcentagem</c:v>
          </c:tx>
          <c:spPr>
            <a:solidFill>
              <a:schemeClr val="accent1"/>
            </a:solidFill>
          </c:spPr>
          <c:dPt>
            <c:idx val="0"/>
            <c:bubble3D val="0"/>
            <c:spPr>
              <a:solidFill>
                <a:schemeClr val="tx1">
                  <a:alpha val="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6-8762-47D2-AA2A-A4711073D9A0}"/>
              </c:ext>
            </c:extLst>
          </c:dPt>
          <c:dPt>
            <c:idx val="1"/>
            <c:bubble3D val="0"/>
            <c:spPr>
              <a:solidFill>
                <a:schemeClr val="tx1">
                  <a:alpha val="80000"/>
                </a:schemeClr>
              </a:solidFill>
              <a:ln w="19050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78-8762-47D2-AA2A-A4711073D9A0}"/>
              </c:ext>
            </c:extLst>
          </c:dPt>
          <c:val>
            <c:numRef>
              <c:f>Tabelas!$C$33:$D$33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8762-47D2-AA2A-A4711073D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7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 paperSize="9" orientation="portrait" horizontalDpi="0" verticalDpi="0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Jan!$P$10:$P$26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Jan!$Q$10:$Q$26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7-4474-84CE-F08F4D1962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Fev!$P$10:$P$26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Fev!$Q$10:$Q$26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BB3-4122-8D82-93F5F736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Mar!$P$10:$P$26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Mar!$Q$10:$Q$26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92-41E7-A9D8-D14B467E83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Abr!$P$10:$P$26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Abr!$Q$10:$Q$26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A-4527-9C91-66FD66DB79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Mai!$P$10:$P$26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Mai!$Q$10:$Q$26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65-4367-BFD2-339513B1C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Jun!$P$10:$P$26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Jun!$Q$10:$Q$26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75-8645-BA2A-4EE28BFA08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Jul!$P$10:$P$26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Jul!$Q$10:$Q$26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7-6F45-866E-1BE9560707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Ago!$P$10:$P$26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Ago!$Q$10:$Q$26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54-3A46-AAF0-4D9577086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Set!$P$10:$P$26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Set!$Q$10:$Q$26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02-9B46-9482-2B901ADEBC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Out!$P$10:$P$26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Out!$Q$10:$Q$26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B-D649-B806-E30064F732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Nov!$P$10:$P$26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Nov!$Q$10:$Q$26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EF-6C41-91E4-C8B57F880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gradFill>
              <a:gsLst>
                <a:gs pos="81000">
                  <a:srgbClr val="C240D8">
                    <a:alpha val="52000"/>
                  </a:srgbClr>
                </a:gs>
                <a:gs pos="27000">
                  <a:srgbClr val="9BF8F2">
                    <a:alpha val="64000"/>
                  </a:srgbClr>
                </a:gs>
              </a:gsLst>
              <a:lin ang="0" scaled="1"/>
            </a:gradFill>
            <a:ln>
              <a:noFill/>
            </a:ln>
            <a:effectLst/>
          </c:spPr>
          <c:invertIfNegative val="0"/>
          <c:cat>
            <c:strRef>
              <c:f>Dez!$P$10:$P$26</c:f>
              <c:strCache>
                <c:ptCount val="8"/>
                <c:pt idx="0">
                  <c:v>Pix</c:v>
                </c:pt>
                <c:pt idx="1">
                  <c:v>Dinheiro</c:v>
                </c:pt>
                <c:pt idx="2">
                  <c:v>Cartão Visa</c:v>
                </c:pt>
                <c:pt idx="3">
                  <c:v>Cartão Mastercard</c:v>
                </c:pt>
                <c:pt idx="4">
                  <c:v>Cartão Esposa</c:v>
                </c:pt>
                <c:pt idx="5">
                  <c:v>Cartão Filho</c:v>
                </c:pt>
                <c:pt idx="6">
                  <c:v>Cartão Filha</c:v>
                </c:pt>
                <c:pt idx="7">
                  <c:v>Cartão Sogra</c:v>
                </c:pt>
              </c:strCache>
            </c:strRef>
          </c:cat>
          <c:val>
            <c:numRef>
              <c:f>Dez!$Q$10:$Q$26</c:f>
              <c:numCache>
                <c:formatCode>"R$"\ #,##0.00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ED-D842-A1CA-F2D4D0C8F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77929840"/>
        <c:axId val="277930320"/>
      </c:barChart>
      <c:catAx>
        <c:axId val="2779298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77930320"/>
        <c:crosses val="autoZero"/>
        <c:auto val="1"/>
        <c:lblAlgn val="ctr"/>
        <c:lblOffset val="100"/>
        <c:noMultiLvlLbl val="0"/>
      </c:catAx>
      <c:valAx>
        <c:axId val="277930320"/>
        <c:scaling>
          <c:orientation val="minMax"/>
        </c:scaling>
        <c:delete val="1"/>
        <c:axPos val="t"/>
        <c:numFmt formatCode="&quot;R$&quot;\ #,##0.00" sourceLinked="1"/>
        <c:majorTickMark val="none"/>
        <c:minorTickMark val="none"/>
        <c:tickLblPos val="nextTo"/>
        <c:crossAx val="27792984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$O$6" lockText="1" noThreeD="1"/>
</file>

<file path=xl/ctrlProps/ctrlProp2.xml><?xml version="1.0" encoding="utf-8"?>
<formControlPr xmlns="http://schemas.microsoft.com/office/spreadsheetml/2009/9/main" objectType="CheckBox" checked="Checked" fmlaLink="$P$6" lockText="1" noThreeD="1"/>
</file>

<file path=xl/ctrlProps/ctrlProp3.xml><?xml version="1.0" encoding="utf-8"?>
<formControlPr xmlns="http://schemas.microsoft.com/office/spreadsheetml/2009/9/main" objectType="CheckBox" fmlaLink="$Q$6" lockText="1" noThreeD="1"/>
</file>

<file path=xl/ctrlProps/ctrlProp4.xml><?xml version="1.0" encoding="utf-8"?>
<formControlPr xmlns="http://schemas.microsoft.com/office/spreadsheetml/2009/9/main" objectType="CheckBox" checked="Checked" fmlaLink="$W$6" lockText="1" noThreeD="1"/>
</file>

<file path=xl/ctrlProps/ctrlProp5.xml><?xml version="1.0" encoding="utf-8"?>
<formControlPr xmlns="http://schemas.microsoft.com/office/spreadsheetml/2009/9/main" objectType="CheckBox" checked="Checked" fmlaLink="$W$7" lockText="1" noThreeD="1"/>
</file>

<file path=xl/ctrlProps/ctrlProp6.xml><?xml version="1.0" encoding="utf-8"?>
<formControlPr xmlns="http://schemas.microsoft.com/office/spreadsheetml/2009/9/main" objectType="CheckBox" checked="Checked" fmlaLink="$W$8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hyperlink" Target="#Resumo!A1"/><Relationship Id="rId7" Type="http://schemas.openxmlformats.org/officeDocument/2006/relationships/chart" Target="../charts/chart5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image" Target="../media/image2.png"/><Relationship Id="rId4" Type="http://schemas.openxmlformats.org/officeDocument/2006/relationships/hyperlink" Target="#Personaliza&#231;&#227;o!A1"/><Relationship Id="rId9" Type="http://schemas.openxmlformats.org/officeDocument/2006/relationships/chart" Target="../charts/chart6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Resumo!A1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5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6" Type="http://schemas.openxmlformats.org/officeDocument/2006/relationships/hyperlink" Target="https://freepngimg.com/png/77758-logo-live-computer-youtube-icons-png-download-free" TargetMode="External"/><Relationship Id="rId5" Type="http://schemas.openxmlformats.org/officeDocument/2006/relationships/image" Target="../media/image4.png"/><Relationship Id="rId4" Type="http://schemas.openxmlformats.org/officeDocument/2006/relationships/hyperlink" Target="https://www.youtube.com/playlist?list=PL4nYRnAzaFjwDE5QctCZeVXeso3982BDN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8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5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6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7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hyperlink" Target="#Personaliza&#231;&#227;o!A1"/><Relationship Id="rId1" Type="http://schemas.openxmlformats.org/officeDocument/2006/relationships/hyperlink" Target="#Resumo!A1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184481</xdr:colOff>
      <xdr:row>34</xdr:row>
      <xdr:rowOff>18647</xdr:rowOff>
    </xdr:from>
    <xdr:to>
      <xdr:col>6</xdr:col>
      <xdr:colOff>641078</xdr:colOff>
      <xdr:row>38</xdr:row>
      <xdr:rowOff>85458</xdr:rowOff>
    </xdr:to>
    <xdr:cxnSp macro="">
      <xdr:nvCxnSpPr>
        <xdr:cNvPr id="46" name="Conector Reto 156">
          <a:extLst>
            <a:ext uri="{FF2B5EF4-FFF2-40B4-BE49-F238E27FC236}">
              <a16:creationId xmlns:a16="http://schemas.microsoft.com/office/drawing/2014/main" id="{8E22D575-34A5-4269-9F76-C44C5B42ECC2}"/>
            </a:ext>
          </a:extLst>
        </xdr:cNvPr>
        <xdr:cNvCxnSpPr/>
      </xdr:nvCxnSpPr>
      <xdr:spPr>
        <a:xfrm>
          <a:off x="5594681" y="6432147"/>
          <a:ext cx="456597" cy="701811"/>
        </a:xfrm>
        <a:prstGeom prst="line">
          <a:avLst/>
        </a:prstGeom>
        <a:ln w="15875">
          <a:gradFill flip="none" rotWithShape="1">
            <a:gsLst>
              <a:gs pos="65000">
                <a:srgbClr val="0A0D80"/>
              </a:gs>
              <a:gs pos="21000">
                <a:srgbClr val="9BF8F2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136679</xdr:colOff>
      <xdr:row>11</xdr:row>
      <xdr:rowOff>28222</xdr:rowOff>
    </xdr:from>
    <xdr:to>
      <xdr:col>8</xdr:col>
      <xdr:colOff>381000</xdr:colOff>
      <xdr:row>13</xdr:row>
      <xdr:rowOff>12971</xdr:rowOff>
    </xdr:to>
    <xdr:cxnSp macro="">
      <xdr:nvCxnSpPr>
        <xdr:cNvPr id="279" name="Conector Reto 150">
          <a:extLst>
            <a:ext uri="{FF2B5EF4-FFF2-40B4-BE49-F238E27FC236}">
              <a16:creationId xmlns:a16="http://schemas.microsoft.com/office/drawing/2014/main" id="{9353026D-16F1-A6DB-9403-3790C0EF73D6}"/>
            </a:ext>
          </a:extLst>
        </xdr:cNvPr>
        <xdr:cNvCxnSpPr>
          <a:endCxn id="280" idx="3"/>
        </xdr:cNvCxnSpPr>
      </xdr:nvCxnSpPr>
      <xdr:spPr>
        <a:xfrm flipH="1">
          <a:off x="5915179" y="2065514"/>
          <a:ext cx="1069821" cy="355165"/>
        </a:xfrm>
        <a:prstGeom prst="line">
          <a:avLst/>
        </a:prstGeom>
        <a:ln w="15875">
          <a:gradFill flip="none" rotWithShape="1">
            <a:gsLst>
              <a:gs pos="65000">
                <a:srgbClr val="0A0D80"/>
              </a:gs>
              <a:gs pos="21000">
                <a:srgbClr val="9BF8F2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50379</xdr:colOff>
      <xdr:row>4</xdr:row>
      <xdr:rowOff>129869</xdr:rowOff>
    </xdr:from>
    <xdr:to>
      <xdr:col>17</xdr:col>
      <xdr:colOff>297592</xdr:colOff>
      <xdr:row>10</xdr:row>
      <xdr:rowOff>183321</xdr:rowOff>
    </xdr:to>
    <xdr:grpSp>
      <xdr:nvGrpSpPr>
        <xdr:cNvPr id="94" name="Despesa1">
          <a:extLst>
            <a:ext uri="{FF2B5EF4-FFF2-40B4-BE49-F238E27FC236}">
              <a16:creationId xmlns:a16="http://schemas.microsoft.com/office/drawing/2014/main" id="{4AB7C5ED-D8A8-4CCC-833D-AD37B05FC7E6}"/>
            </a:ext>
          </a:extLst>
        </xdr:cNvPr>
        <xdr:cNvGrpSpPr/>
      </xdr:nvGrpSpPr>
      <xdr:grpSpPr>
        <a:xfrm>
          <a:off x="13544129" y="891869"/>
          <a:ext cx="2046380" cy="1196452"/>
          <a:chOff x="12986272" y="635001"/>
          <a:chExt cx="1821928" cy="1285990"/>
        </a:xfrm>
      </xdr:grpSpPr>
      <xdr:grpSp>
        <xdr:nvGrpSpPr>
          <xdr:cNvPr id="95" name="Agrupar 94">
            <a:extLst>
              <a:ext uri="{FF2B5EF4-FFF2-40B4-BE49-F238E27FC236}">
                <a16:creationId xmlns:a16="http://schemas.microsoft.com/office/drawing/2014/main" id="{207CCB22-FE07-7211-2713-AEA06B96E414}"/>
              </a:ext>
            </a:extLst>
          </xdr:cNvPr>
          <xdr:cNvGrpSpPr/>
        </xdr:nvGrpSpPr>
        <xdr:grpSpPr>
          <a:xfrm>
            <a:off x="12986272" y="781756"/>
            <a:ext cx="584154" cy="1139235"/>
            <a:chOff x="12986272" y="781756"/>
            <a:chExt cx="584154" cy="1139235"/>
          </a:xfrm>
        </xdr:grpSpPr>
        <xdr:cxnSp macro="">
          <xdr:nvCxnSpPr>
            <xdr:cNvPr id="99" name="Conector Reto 85">
              <a:extLst>
                <a:ext uri="{FF2B5EF4-FFF2-40B4-BE49-F238E27FC236}">
                  <a16:creationId xmlns:a16="http://schemas.microsoft.com/office/drawing/2014/main" id="{50F40DBA-47AF-FA86-85F8-FD1EC5534EF4}"/>
                </a:ext>
              </a:extLst>
            </xdr:cNvPr>
            <xdr:cNvCxnSpPr>
              <a:stCxn id="92" idx="7"/>
            </xdr:cNvCxnSpPr>
          </xdr:nvCxnSpPr>
          <xdr:spPr>
            <a:xfrm flipV="1">
              <a:off x="12986272" y="1142998"/>
              <a:ext cx="247126" cy="777993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0" name="Oval 87">
              <a:extLst>
                <a:ext uri="{FF2B5EF4-FFF2-40B4-BE49-F238E27FC236}">
                  <a16:creationId xmlns:a16="http://schemas.microsoft.com/office/drawing/2014/main" id="{2A6666C4-193C-CE23-8F3D-3E6140B91F30}"/>
                </a:ext>
              </a:extLst>
            </xdr:cNvPr>
            <xdr:cNvSpPr>
              <a:spLocks noChangeAspect="1"/>
            </xdr:cNvSpPr>
          </xdr:nvSpPr>
          <xdr:spPr>
            <a:xfrm>
              <a:off x="13155787" y="781756"/>
              <a:ext cx="414639" cy="476987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7">
        <xdr:nvSpPr>
          <xdr:cNvPr id="96" name="CaixaDeTexto 95">
            <a:extLst>
              <a:ext uri="{FF2B5EF4-FFF2-40B4-BE49-F238E27FC236}">
                <a16:creationId xmlns:a16="http://schemas.microsoft.com/office/drawing/2014/main" id="{202802FE-EAEB-57CB-D871-61440C546445}"/>
              </a:ext>
            </a:extLst>
          </xdr:cNvPr>
          <xdr:cNvSpPr txBox="1"/>
        </xdr:nvSpPr>
        <xdr:spPr>
          <a:xfrm>
            <a:off x="13436600" y="6350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3313F5B-5CF7-0547-98FE-ADFFBE6A03BF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+mn-cs"/>
              </a:rPr>
              <a:pPr marL="0" indent="0" algn="ctr"/>
              <a:t>Restaurante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6">
        <xdr:nvSpPr>
          <xdr:cNvPr id="97" name="CaixaDeTexto 96">
            <a:extLst>
              <a:ext uri="{FF2B5EF4-FFF2-40B4-BE49-F238E27FC236}">
                <a16:creationId xmlns:a16="http://schemas.microsoft.com/office/drawing/2014/main" id="{252AB5FE-AFD4-CE1C-108F-931BF1CF0382}"/>
              </a:ext>
            </a:extLst>
          </xdr:cNvPr>
          <xdr:cNvSpPr txBox="1"/>
        </xdr:nvSpPr>
        <xdr:spPr>
          <a:xfrm>
            <a:off x="13360400" y="8382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E4667B4-2D6D-744C-ADEA-246131081EA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6">
        <xdr:nvSpPr>
          <xdr:cNvPr id="98" name="CaixaDeTexto 97">
            <a:extLst>
              <a:ext uri="{FF2B5EF4-FFF2-40B4-BE49-F238E27FC236}">
                <a16:creationId xmlns:a16="http://schemas.microsoft.com/office/drawing/2014/main" id="{44F11DD2-2890-A187-E3D4-584585D22CA7}"/>
              </a:ext>
            </a:extLst>
          </xdr:cNvPr>
          <xdr:cNvSpPr txBox="1"/>
        </xdr:nvSpPr>
        <xdr:spPr>
          <a:xfrm>
            <a:off x="13089375" y="844912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B7BE8C9-899B-9441-90EE-EDA50523DFD8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25400</xdr:colOff>
      <xdr:row>7</xdr:row>
      <xdr:rowOff>162862</xdr:rowOff>
    </xdr:from>
    <xdr:to>
      <xdr:col>18</xdr:col>
      <xdr:colOff>431800</xdr:colOff>
      <xdr:row>11</xdr:row>
      <xdr:rowOff>38100</xdr:rowOff>
    </xdr:to>
    <xdr:grpSp>
      <xdr:nvGrpSpPr>
        <xdr:cNvPr id="101" name="Despesa2">
          <a:extLst>
            <a:ext uri="{FF2B5EF4-FFF2-40B4-BE49-F238E27FC236}">
              <a16:creationId xmlns:a16="http://schemas.microsoft.com/office/drawing/2014/main" id="{4058D93C-1011-4120-B8DF-E65B4917AE37}"/>
            </a:ext>
          </a:extLst>
        </xdr:cNvPr>
        <xdr:cNvGrpSpPr/>
      </xdr:nvGrpSpPr>
      <xdr:grpSpPr>
        <a:xfrm>
          <a:off x="13519150" y="1496362"/>
          <a:ext cx="3105150" cy="637238"/>
          <a:chOff x="12813235" y="1409701"/>
          <a:chExt cx="2883965" cy="681306"/>
        </a:xfrm>
      </xdr:grpSpPr>
      <xdr:grpSp>
        <xdr:nvGrpSpPr>
          <xdr:cNvPr id="102" name="Agrupar 101">
            <a:extLst>
              <a:ext uri="{FF2B5EF4-FFF2-40B4-BE49-F238E27FC236}">
                <a16:creationId xmlns:a16="http://schemas.microsoft.com/office/drawing/2014/main" id="{93A63401-6E28-B46C-DA36-4948567C3CCF}"/>
              </a:ext>
            </a:extLst>
          </xdr:cNvPr>
          <xdr:cNvGrpSpPr/>
        </xdr:nvGrpSpPr>
        <xdr:grpSpPr>
          <a:xfrm>
            <a:off x="12813235" y="1556456"/>
            <a:ext cx="1651013" cy="534551"/>
            <a:chOff x="11987735" y="870656"/>
            <a:chExt cx="1651013" cy="534551"/>
          </a:xfrm>
        </xdr:grpSpPr>
        <xdr:cxnSp macro="">
          <xdr:nvCxnSpPr>
            <xdr:cNvPr id="106" name="Conector Reto 96">
              <a:extLst>
                <a:ext uri="{FF2B5EF4-FFF2-40B4-BE49-F238E27FC236}">
                  <a16:creationId xmlns:a16="http://schemas.microsoft.com/office/drawing/2014/main" id="{B9F4D2AE-F59D-9D60-E077-581BEAD4F78E}"/>
                </a:ext>
              </a:extLst>
            </xdr:cNvPr>
            <xdr:cNvCxnSpPr/>
          </xdr:nvCxnSpPr>
          <xdr:spPr>
            <a:xfrm flipV="1">
              <a:off x="11987735" y="1143000"/>
              <a:ext cx="1245665" cy="262207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07" name="Oval 97">
              <a:extLst>
                <a:ext uri="{FF2B5EF4-FFF2-40B4-BE49-F238E27FC236}">
                  <a16:creationId xmlns:a16="http://schemas.microsoft.com/office/drawing/2014/main" id="{B6F79727-9E64-A5EB-3162-996BC4B00B0B}"/>
                </a:ext>
              </a:extLst>
            </xdr:cNvPr>
            <xdr:cNvSpPr>
              <a:spLocks noChangeAspect="1"/>
            </xdr:cNvSpPr>
          </xdr:nvSpPr>
          <xdr:spPr>
            <a:xfrm>
              <a:off x="13206588" y="870656"/>
              <a:ext cx="432160" cy="47774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8">
        <xdr:nvSpPr>
          <xdr:cNvPr id="103" name="CaixaDeTexto 102">
            <a:extLst>
              <a:ext uri="{FF2B5EF4-FFF2-40B4-BE49-F238E27FC236}">
                <a16:creationId xmlns:a16="http://schemas.microsoft.com/office/drawing/2014/main" id="{2449A117-58B7-C042-1562-F9CAFFCA3428}"/>
              </a:ext>
            </a:extLst>
          </xdr:cNvPr>
          <xdr:cNvSpPr txBox="1"/>
        </xdr:nvSpPr>
        <xdr:spPr>
          <a:xfrm>
            <a:off x="14325600" y="14097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2203C887-768B-2D46-9A3B-099F18A312DA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Compras parceladas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7">
        <xdr:nvSpPr>
          <xdr:cNvPr id="104" name="CaixaDeTexto 103">
            <a:extLst>
              <a:ext uri="{FF2B5EF4-FFF2-40B4-BE49-F238E27FC236}">
                <a16:creationId xmlns:a16="http://schemas.microsoft.com/office/drawing/2014/main" id="{E8FDF443-F689-0E08-003F-188A3C6621DB}"/>
              </a:ext>
            </a:extLst>
          </xdr:cNvPr>
          <xdr:cNvSpPr txBox="1"/>
        </xdr:nvSpPr>
        <xdr:spPr>
          <a:xfrm>
            <a:off x="14249400" y="16129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25A1971-21BC-B14A-A063-52302700904E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7">
        <xdr:nvSpPr>
          <xdr:cNvPr id="105" name="CaixaDeTexto 104">
            <a:extLst>
              <a:ext uri="{FF2B5EF4-FFF2-40B4-BE49-F238E27FC236}">
                <a16:creationId xmlns:a16="http://schemas.microsoft.com/office/drawing/2014/main" id="{B96342A4-5B31-80D3-5F3D-2996EE0188D6}"/>
              </a:ext>
            </a:extLst>
          </xdr:cNvPr>
          <xdr:cNvSpPr txBox="1"/>
        </xdr:nvSpPr>
        <xdr:spPr>
          <a:xfrm>
            <a:off x="13980333" y="1603833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697E706-CF34-A841-902D-BD034ECEAA6B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104107</xdr:colOff>
      <xdr:row>11</xdr:row>
      <xdr:rowOff>173181</xdr:rowOff>
    </xdr:from>
    <xdr:to>
      <xdr:col>18</xdr:col>
      <xdr:colOff>428146</xdr:colOff>
      <xdr:row>16</xdr:row>
      <xdr:rowOff>12122</xdr:rowOff>
    </xdr:to>
    <xdr:grpSp>
      <xdr:nvGrpSpPr>
        <xdr:cNvPr id="108" name="Despesa3">
          <a:extLst>
            <a:ext uri="{FF2B5EF4-FFF2-40B4-BE49-F238E27FC236}">
              <a16:creationId xmlns:a16="http://schemas.microsoft.com/office/drawing/2014/main" id="{F9A57771-8ABC-4CA3-8342-522C57C53DEF}"/>
            </a:ext>
          </a:extLst>
        </xdr:cNvPr>
        <xdr:cNvGrpSpPr/>
      </xdr:nvGrpSpPr>
      <xdr:grpSpPr>
        <a:xfrm>
          <a:off x="13597857" y="2268681"/>
          <a:ext cx="3022789" cy="791441"/>
          <a:chOff x="12880887" y="2296332"/>
          <a:chExt cx="2803613" cy="840569"/>
        </a:xfrm>
      </xdr:grpSpPr>
      <xdr:grpSp>
        <xdr:nvGrpSpPr>
          <xdr:cNvPr id="109" name="Agrupar 108">
            <a:extLst>
              <a:ext uri="{FF2B5EF4-FFF2-40B4-BE49-F238E27FC236}">
                <a16:creationId xmlns:a16="http://schemas.microsoft.com/office/drawing/2014/main" id="{8D91DDA1-8931-4562-BC81-833A37FD9B8E}"/>
              </a:ext>
            </a:extLst>
          </xdr:cNvPr>
          <xdr:cNvGrpSpPr/>
        </xdr:nvGrpSpPr>
        <xdr:grpSpPr>
          <a:xfrm>
            <a:off x="12880887" y="2296332"/>
            <a:ext cx="1659875" cy="801607"/>
            <a:chOff x="12880887" y="2296332"/>
            <a:chExt cx="1659875" cy="801607"/>
          </a:xfrm>
        </xdr:grpSpPr>
        <xdr:cxnSp macro="">
          <xdr:nvCxnSpPr>
            <xdr:cNvPr id="113" name="Conector Reto 107">
              <a:extLst>
                <a:ext uri="{FF2B5EF4-FFF2-40B4-BE49-F238E27FC236}">
                  <a16:creationId xmlns:a16="http://schemas.microsoft.com/office/drawing/2014/main" id="{BB638596-B8A2-DE65-D849-49FA092C88A4}"/>
                </a:ext>
              </a:extLst>
            </xdr:cNvPr>
            <xdr:cNvCxnSpPr>
              <a:stCxn id="93" idx="3"/>
            </xdr:cNvCxnSpPr>
          </xdr:nvCxnSpPr>
          <xdr:spPr>
            <a:xfrm>
              <a:off x="12880887" y="2296332"/>
              <a:ext cx="1335296" cy="474814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4" name="Oval 109">
              <a:extLst>
                <a:ext uri="{FF2B5EF4-FFF2-40B4-BE49-F238E27FC236}">
                  <a16:creationId xmlns:a16="http://schemas.microsoft.com/office/drawing/2014/main" id="{1459498B-6841-AD3B-8433-6E3A54B5D893}"/>
                </a:ext>
              </a:extLst>
            </xdr:cNvPr>
            <xdr:cNvSpPr>
              <a:spLocks noChangeAspect="1"/>
            </xdr:cNvSpPr>
          </xdr:nvSpPr>
          <xdr:spPr>
            <a:xfrm>
              <a:off x="14108288" y="2623254"/>
              <a:ext cx="432474" cy="47468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9">
        <xdr:nvSpPr>
          <xdr:cNvPr id="110" name="CaixaDeTexto 109">
            <a:extLst>
              <a:ext uri="{FF2B5EF4-FFF2-40B4-BE49-F238E27FC236}">
                <a16:creationId xmlns:a16="http://schemas.microsoft.com/office/drawing/2014/main" id="{CA9382C7-0106-8B11-5C5D-D94F8B0525E4}"/>
              </a:ext>
            </a:extLst>
          </xdr:cNvPr>
          <xdr:cNvSpPr txBox="1"/>
        </xdr:nvSpPr>
        <xdr:spPr>
          <a:xfrm>
            <a:off x="14389100" y="2641601"/>
            <a:ext cx="1257300" cy="2412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6E63E75-3964-3E47-9EC2-40A45BE11057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Supermercado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8">
        <xdr:nvSpPr>
          <xdr:cNvPr id="111" name="CaixaDeTexto 110">
            <a:extLst>
              <a:ext uri="{FF2B5EF4-FFF2-40B4-BE49-F238E27FC236}">
                <a16:creationId xmlns:a16="http://schemas.microsoft.com/office/drawing/2014/main" id="{FB140BC4-7C4A-9DD0-86C0-7DD79BF078D1}"/>
              </a:ext>
            </a:extLst>
          </xdr:cNvPr>
          <xdr:cNvSpPr txBox="1"/>
        </xdr:nvSpPr>
        <xdr:spPr>
          <a:xfrm>
            <a:off x="14312900" y="28448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95A5C3E-6921-9A40-ACB2-6F34BAA3A709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8">
        <xdr:nvSpPr>
          <xdr:cNvPr id="112" name="CaixaDeTexto 111">
            <a:extLst>
              <a:ext uri="{FF2B5EF4-FFF2-40B4-BE49-F238E27FC236}">
                <a16:creationId xmlns:a16="http://schemas.microsoft.com/office/drawing/2014/main" id="{E89C081A-61B7-604D-2BCA-C6A93D331C66}"/>
              </a:ext>
            </a:extLst>
          </xdr:cNvPr>
          <xdr:cNvSpPr txBox="1"/>
        </xdr:nvSpPr>
        <xdr:spPr>
          <a:xfrm>
            <a:off x="14076790" y="2675624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6FE1045-7EB0-864F-85F6-537F5081C785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79376</xdr:colOff>
      <xdr:row>12</xdr:row>
      <xdr:rowOff>58208</xdr:rowOff>
    </xdr:from>
    <xdr:to>
      <xdr:col>18</xdr:col>
      <xdr:colOff>825499</xdr:colOff>
      <xdr:row>22</xdr:row>
      <xdr:rowOff>60297</xdr:rowOff>
    </xdr:to>
    <xdr:grpSp>
      <xdr:nvGrpSpPr>
        <xdr:cNvPr id="115" name="Despesa4">
          <a:extLst>
            <a:ext uri="{FF2B5EF4-FFF2-40B4-BE49-F238E27FC236}">
              <a16:creationId xmlns:a16="http://schemas.microsoft.com/office/drawing/2014/main" id="{8496D72F-FCCF-45A7-A22B-C0CE98403D6F}"/>
            </a:ext>
          </a:extLst>
        </xdr:cNvPr>
        <xdr:cNvGrpSpPr/>
      </xdr:nvGrpSpPr>
      <xdr:grpSpPr>
        <a:xfrm>
          <a:off x="13573126" y="2344208"/>
          <a:ext cx="3444873" cy="1907089"/>
          <a:chOff x="12637536" y="2375761"/>
          <a:chExt cx="3059664" cy="2043840"/>
        </a:xfrm>
      </xdr:grpSpPr>
      <xdr:grpSp>
        <xdr:nvGrpSpPr>
          <xdr:cNvPr id="116" name="Agrupar 115">
            <a:extLst>
              <a:ext uri="{FF2B5EF4-FFF2-40B4-BE49-F238E27FC236}">
                <a16:creationId xmlns:a16="http://schemas.microsoft.com/office/drawing/2014/main" id="{5615175B-34EC-7C31-65E3-0EBB5C677974}"/>
              </a:ext>
            </a:extLst>
          </xdr:cNvPr>
          <xdr:cNvGrpSpPr/>
        </xdr:nvGrpSpPr>
        <xdr:grpSpPr>
          <a:xfrm>
            <a:off x="12637536" y="2375761"/>
            <a:ext cx="1919008" cy="1961228"/>
            <a:chOff x="12485136" y="-271483"/>
            <a:chExt cx="1919008" cy="1961228"/>
          </a:xfrm>
        </xdr:grpSpPr>
        <xdr:cxnSp macro="">
          <xdr:nvCxnSpPr>
            <xdr:cNvPr id="120" name="Conector Reto 113">
              <a:extLst>
                <a:ext uri="{FF2B5EF4-FFF2-40B4-BE49-F238E27FC236}">
                  <a16:creationId xmlns:a16="http://schemas.microsoft.com/office/drawing/2014/main" id="{6486046D-3265-DC29-1682-2807C71C28E1}"/>
                </a:ext>
              </a:extLst>
            </xdr:cNvPr>
            <xdr:cNvCxnSpPr/>
          </xdr:nvCxnSpPr>
          <xdr:spPr>
            <a:xfrm>
              <a:off x="12485136" y="-271483"/>
              <a:ext cx="1571791" cy="1547977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1" name="Oval 114">
              <a:extLst>
                <a:ext uri="{FF2B5EF4-FFF2-40B4-BE49-F238E27FC236}">
                  <a16:creationId xmlns:a16="http://schemas.microsoft.com/office/drawing/2014/main" id="{4BCDB15C-D6B4-7B13-9F1A-3FD865040394}"/>
                </a:ext>
              </a:extLst>
            </xdr:cNvPr>
            <xdr:cNvSpPr>
              <a:spLocks noChangeAspect="1"/>
            </xdr:cNvSpPr>
          </xdr:nvSpPr>
          <xdr:spPr>
            <a:xfrm>
              <a:off x="13993989" y="1213554"/>
              <a:ext cx="410155" cy="476191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10">
        <xdr:nvSpPr>
          <xdr:cNvPr id="117" name="CaixaDeTexto 116">
            <a:extLst>
              <a:ext uri="{FF2B5EF4-FFF2-40B4-BE49-F238E27FC236}">
                <a16:creationId xmlns:a16="http://schemas.microsoft.com/office/drawing/2014/main" id="{735CD47A-DDC9-5657-8F20-06BE675C3A2E}"/>
              </a:ext>
            </a:extLst>
          </xdr:cNvPr>
          <xdr:cNvSpPr txBox="1"/>
        </xdr:nvSpPr>
        <xdr:spPr>
          <a:xfrm>
            <a:off x="14401800" y="3924301"/>
            <a:ext cx="1168400" cy="2285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C9DB25A-80D4-3942-A0CE-6E70F21F5362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Lazer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29">
        <xdr:nvSpPr>
          <xdr:cNvPr id="118" name="CaixaDeTexto 117">
            <a:extLst>
              <a:ext uri="{FF2B5EF4-FFF2-40B4-BE49-F238E27FC236}">
                <a16:creationId xmlns:a16="http://schemas.microsoft.com/office/drawing/2014/main" id="{5A2D7EE1-BE87-C5E2-3A03-98A70322A500}"/>
              </a:ext>
            </a:extLst>
          </xdr:cNvPr>
          <xdr:cNvSpPr txBox="1"/>
        </xdr:nvSpPr>
        <xdr:spPr>
          <a:xfrm>
            <a:off x="14325600" y="41275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9C064DA-2CCE-3C47-AD0B-3119E6FBBEFB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29">
        <xdr:nvSpPr>
          <xdr:cNvPr id="119" name="CaixaDeTexto 118">
            <a:extLst>
              <a:ext uri="{FF2B5EF4-FFF2-40B4-BE49-F238E27FC236}">
                <a16:creationId xmlns:a16="http://schemas.microsoft.com/office/drawing/2014/main" id="{CB3F6835-BDC4-4095-96DC-B946C6ED1CCC}"/>
              </a:ext>
            </a:extLst>
          </xdr:cNvPr>
          <xdr:cNvSpPr txBox="1"/>
        </xdr:nvSpPr>
        <xdr:spPr>
          <a:xfrm>
            <a:off x="14090997" y="3902794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54C0085F-FE4C-D54F-865A-52981F0544E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ctr"/>
              <a:t>0%</a:t>
            </a:fld>
            <a:endParaRPr lang="pt-BR" sz="7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14</xdr:col>
      <xdr:colOff>747589</xdr:colOff>
      <xdr:row>13</xdr:row>
      <xdr:rowOff>85065</xdr:rowOff>
    </xdr:from>
    <xdr:to>
      <xdr:col>16</xdr:col>
      <xdr:colOff>636197</xdr:colOff>
      <xdr:row>24</xdr:row>
      <xdr:rowOff>172378</xdr:rowOff>
    </xdr:to>
    <xdr:grpSp>
      <xdr:nvGrpSpPr>
        <xdr:cNvPr id="122" name="Despesa5">
          <a:extLst>
            <a:ext uri="{FF2B5EF4-FFF2-40B4-BE49-F238E27FC236}">
              <a16:creationId xmlns:a16="http://schemas.microsoft.com/office/drawing/2014/main" id="{36761A0A-C9B1-4558-BBDB-D7D8F0F7F78D}"/>
            </a:ext>
          </a:extLst>
        </xdr:cNvPr>
        <xdr:cNvGrpSpPr/>
      </xdr:nvGrpSpPr>
      <xdr:grpSpPr>
        <a:xfrm rot="401798">
          <a:off x="13341756" y="2561565"/>
          <a:ext cx="1687774" cy="2182813"/>
          <a:chOff x="12394639" y="2575400"/>
          <a:chExt cx="1702361" cy="2326801"/>
        </a:xfrm>
      </xdr:grpSpPr>
      <xdr:grpSp>
        <xdr:nvGrpSpPr>
          <xdr:cNvPr id="123" name="Agrupar 122">
            <a:extLst>
              <a:ext uri="{FF2B5EF4-FFF2-40B4-BE49-F238E27FC236}">
                <a16:creationId xmlns:a16="http://schemas.microsoft.com/office/drawing/2014/main" id="{585BBB9F-40DE-215C-C1DC-F5D04EE6E6A7}"/>
              </a:ext>
            </a:extLst>
          </xdr:cNvPr>
          <xdr:cNvGrpSpPr/>
        </xdr:nvGrpSpPr>
        <xdr:grpSpPr>
          <a:xfrm>
            <a:off x="12394639" y="2575400"/>
            <a:ext cx="627735" cy="2071202"/>
            <a:chOff x="12991539" y="-828200"/>
            <a:chExt cx="627735" cy="2071202"/>
          </a:xfrm>
        </xdr:grpSpPr>
        <xdr:cxnSp macro="">
          <xdr:nvCxnSpPr>
            <xdr:cNvPr id="127" name="Conector Reto 119">
              <a:extLst>
                <a:ext uri="{FF2B5EF4-FFF2-40B4-BE49-F238E27FC236}">
                  <a16:creationId xmlns:a16="http://schemas.microsoft.com/office/drawing/2014/main" id="{3AEC0C4D-D3ED-6650-1AC1-0412B5086FB3}"/>
                </a:ext>
              </a:extLst>
            </xdr:cNvPr>
            <xdr:cNvCxnSpPr>
              <a:stCxn id="93" idx="2"/>
            </xdr:cNvCxnSpPr>
          </xdr:nvCxnSpPr>
          <xdr:spPr>
            <a:xfrm rot="21198202">
              <a:off x="12991539" y="-828200"/>
              <a:ext cx="235230" cy="178508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8" name="Oval 120">
              <a:extLst>
                <a:ext uri="{FF2B5EF4-FFF2-40B4-BE49-F238E27FC236}">
                  <a16:creationId xmlns:a16="http://schemas.microsoft.com/office/drawing/2014/main" id="{1E2E775B-59A3-74FF-B829-78CAE4BCF20D}"/>
                </a:ext>
              </a:extLst>
            </xdr:cNvPr>
            <xdr:cNvSpPr>
              <a:spLocks noChangeAspect="1"/>
            </xdr:cNvSpPr>
          </xdr:nvSpPr>
          <xdr:spPr>
            <a:xfrm>
              <a:off x="13141607" y="769889"/>
              <a:ext cx="477667" cy="47311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Personalização!I11">
        <xdr:nvSpPr>
          <xdr:cNvPr id="124" name="CaixaDeTexto 123">
            <a:extLst>
              <a:ext uri="{FF2B5EF4-FFF2-40B4-BE49-F238E27FC236}">
                <a16:creationId xmlns:a16="http://schemas.microsoft.com/office/drawing/2014/main" id="{3E04FFDD-D545-81BF-7B94-E3FBA6167348}"/>
              </a:ext>
            </a:extLst>
          </xdr:cNvPr>
          <xdr:cNvSpPr txBox="1"/>
        </xdr:nvSpPr>
        <xdr:spPr>
          <a:xfrm rot="21198202">
            <a:off x="12712700" y="44069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A7F5132-BD5A-B24D-991C-C79C894E8821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+mn-cs"/>
              </a:rPr>
              <a:pPr marL="0" indent="0" algn="ctr"/>
              <a:t>Transporte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0">
        <xdr:nvSpPr>
          <xdr:cNvPr id="125" name="CaixaDeTexto 124">
            <a:extLst>
              <a:ext uri="{FF2B5EF4-FFF2-40B4-BE49-F238E27FC236}">
                <a16:creationId xmlns:a16="http://schemas.microsoft.com/office/drawing/2014/main" id="{992FC701-46A9-352A-32DE-E78BA62E0C99}"/>
              </a:ext>
            </a:extLst>
          </xdr:cNvPr>
          <xdr:cNvSpPr txBox="1"/>
        </xdr:nvSpPr>
        <xdr:spPr>
          <a:xfrm rot="21198202">
            <a:off x="12725400" y="4610101"/>
            <a:ext cx="1371600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9CD5333D-F430-4943-AB1F-2B3DC3BC79AF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H30">
        <xdr:nvSpPr>
          <xdr:cNvPr id="126" name="CaixaDeTexto 125">
            <a:extLst>
              <a:ext uri="{FF2B5EF4-FFF2-40B4-BE49-F238E27FC236}">
                <a16:creationId xmlns:a16="http://schemas.microsoft.com/office/drawing/2014/main" id="{8D94F6AA-2993-1FB0-3E95-822AB34C92E1}"/>
              </a:ext>
            </a:extLst>
          </xdr:cNvPr>
          <xdr:cNvSpPr txBox="1"/>
        </xdr:nvSpPr>
        <xdr:spPr>
          <a:xfrm rot="21198202">
            <a:off x="12521111" y="4213473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7DF7672-27EE-3049-80D1-9CE3643CA85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13</xdr:col>
      <xdr:colOff>536917</xdr:colOff>
      <xdr:row>3</xdr:row>
      <xdr:rowOff>1385</xdr:rowOff>
    </xdr:from>
    <xdr:to>
      <xdr:col>15</xdr:col>
      <xdr:colOff>280530</xdr:colOff>
      <xdr:row>10</xdr:row>
      <xdr:rowOff>177348</xdr:rowOff>
    </xdr:to>
    <xdr:grpSp>
      <xdr:nvGrpSpPr>
        <xdr:cNvPr id="129" name="Despesa6">
          <a:extLst>
            <a:ext uri="{FF2B5EF4-FFF2-40B4-BE49-F238E27FC236}">
              <a16:creationId xmlns:a16="http://schemas.microsoft.com/office/drawing/2014/main" id="{BABA8420-3F98-4DFB-A127-3CEC67AC90C7}"/>
            </a:ext>
          </a:extLst>
        </xdr:cNvPr>
        <xdr:cNvGrpSpPr/>
      </xdr:nvGrpSpPr>
      <xdr:grpSpPr>
        <a:xfrm>
          <a:off x="12231500" y="572885"/>
          <a:ext cx="1542780" cy="1509463"/>
          <a:chOff x="11615615" y="338993"/>
          <a:chExt cx="1388208" cy="1618864"/>
        </a:xfrm>
      </xdr:grpSpPr>
      <xdr:grpSp>
        <xdr:nvGrpSpPr>
          <xdr:cNvPr id="130" name="Agrupar 129">
            <a:extLst>
              <a:ext uri="{FF2B5EF4-FFF2-40B4-BE49-F238E27FC236}">
                <a16:creationId xmlns:a16="http://schemas.microsoft.com/office/drawing/2014/main" id="{DD000D5C-20AD-A08C-384A-82CB469C8EB4}"/>
              </a:ext>
            </a:extLst>
          </xdr:cNvPr>
          <xdr:cNvGrpSpPr/>
        </xdr:nvGrpSpPr>
        <xdr:grpSpPr>
          <a:xfrm rot="15607441">
            <a:off x="11803444" y="1156485"/>
            <a:ext cx="1172729" cy="430016"/>
            <a:chOff x="12284956" y="837892"/>
            <a:chExt cx="1173495" cy="430016"/>
          </a:xfrm>
        </xdr:grpSpPr>
        <xdr:cxnSp macro="">
          <xdr:nvCxnSpPr>
            <xdr:cNvPr id="134" name="Conector Reto 62">
              <a:extLst>
                <a:ext uri="{FF2B5EF4-FFF2-40B4-BE49-F238E27FC236}">
                  <a16:creationId xmlns:a16="http://schemas.microsoft.com/office/drawing/2014/main" id="{A753130B-7E52-C681-E124-AE29426A5253}"/>
                </a:ext>
              </a:extLst>
            </xdr:cNvPr>
            <xdr:cNvCxnSpPr/>
          </xdr:nvCxnSpPr>
          <xdr:spPr>
            <a:xfrm rot="5992559" flipH="1" flipV="1">
              <a:off x="12538589" y="687205"/>
              <a:ext cx="206333" cy="71359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35" name="Oval 93">
              <a:extLst>
                <a:ext uri="{FF2B5EF4-FFF2-40B4-BE49-F238E27FC236}">
                  <a16:creationId xmlns:a16="http://schemas.microsoft.com/office/drawing/2014/main" id="{A925FA39-CD0F-0033-A201-C911E3822E69}"/>
                </a:ext>
              </a:extLst>
            </xdr:cNvPr>
            <xdr:cNvSpPr>
              <a:spLocks noChangeAspect="1"/>
            </xdr:cNvSpPr>
          </xdr:nvSpPr>
          <xdr:spPr>
            <a:xfrm>
              <a:off x="12983175" y="837892"/>
              <a:ext cx="475276" cy="430016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1">
        <xdr:nvSpPr>
          <xdr:cNvPr id="131" name="CaixaDeTexto 130">
            <a:extLst>
              <a:ext uri="{FF2B5EF4-FFF2-40B4-BE49-F238E27FC236}">
                <a16:creationId xmlns:a16="http://schemas.microsoft.com/office/drawing/2014/main" id="{AE58D826-3B4C-A2CE-17EC-D60415CCAF3B}"/>
              </a:ext>
            </a:extLst>
          </xdr:cNvPr>
          <xdr:cNvSpPr txBox="1"/>
        </xdr:nvSpPr>
        <xdr:spPr>
          <a:xfrm>
            <a:off x="12059314" y="824816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BE42BB5-ED50-1546-AE1D-956ED84CA768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2">
        <xdr:nvSpPr>
          <xdr:cNvPr id="132" name="CaixaDeTexto 131">
            <a:extLst>
              <a:ext uri="{FF2B5EF4-FFF2-40B4-BE49-F238E27FC236}">
                <a16:creationId xmlns:a16="http://schemas.microsoft.com/office/drawing/2014/main" id="{45543A63-0143-DA55-3630-814F87EB11DB}"/>
              </a:ext>
            </a:extLst>
          </xdr:cNvPr>
          <xdr:cNvSpPr txBox="1"/>
        </xdr:nvSpPr>
        <xdr:spPr>
          <a:xfrm>
            <a:off x="11615615" y="338993"/>
            <a:ext cx="1376486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B110E192-9E6D-834A-8354-A91CB625F318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Vestuário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1">
        <xdr:nvSpPr>
          <xdr:cNvPr id="133" name="CaixaDeTexto 132">
            <a:extLst>
              <a:ext uri="{FF2B5EF4-FFF2-40B4-BE49-F238E27FC236}">
                <a16:creationId xmlns:a16="http://schemas.microsoft.com/office/drawing/2014/main" id="{6E6880E3-260A-C3A3-297E-DA5C42255F1B}"/>
              </a:ext>
            </a:extLst>
          </xdr:cNvPr>
          <xdr:cNvSpPr txBox="1"/>
        </xdr:nvSpPr>
        <xdr:spPr>
          <a:xfrm>
            <a:off x="11632223" y="540239"/>
            <a:ext cx="1371600" cy="2901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336ECFE-9B81-E548-B12B-029FE234A3FE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12</xdr:col>
      <xdr:colOff>481628</xdr:colOff>
      <xdr:row>5</xdr:row>
      <xdr:rowOff>50810</xdr:rowOff>
    </xdr:from>
    <xdr:to>
      <xdr:col>14</xdr:col>
      <xdr:colOff>458579</xdr:colOff>
      <xdr:row>11</xdr:row>
      <xdr:rowOff>173511</xdr:rowOff>
    </xdr:to>
    <xdr:grpSp>
      <xdr:nvGrpSpPr>
        <xdr:cNvPr id="136" name="Despesa8">
          <a:extLst>
            <a:ext uri="{FF2B5EF4-FFF2-40B4-BE49-F238E27FC236}">
              <a16:creationId xmlns:a16="http://schemas.microsoft.com/office/drawing/2014/main" id="{CD6DF6D6-D8B4-437F-809F-594637DF7CFC}"/>
            </a:ext>
          </a:extLst>
        </xdr:cNvPr>
        <xdr:cNvGrpSpPr/>
      </xdr:nvGrpSpPr>
      <xdr:grpSpPr>
        <a:xfrm>
          <a:off x="11276628" y="1003310"/>
          <a:ext cx="1776118" cy="1265701"/>
          <a:chOff x="10603524" y="709572"/>
          <a:chExt cx="1626459" cy="1341457"/>
        </a:xfrm>
      </xdr:grpSpPr>
      <xdr:grpSp>
        <xdr:nvGrpSpPr>
          <xdr:cNvPr id="137" name="Agrupar 136">
            <a:extLst>
              <a:ext uri="{FF2B5EF4-FFF2-40B4-BE49-F238E27FC236}">
                <a16:creationId xmlns:a16="http://schemas.microsoft.com/office/drawing/2014/main" id="{279F02DE-4575-180A-E913-7D0E5C0BF263}"/>
              </a:ext>
            </a:extLst>
          </xdr:cNvPr>
          <xdr:cNvGrpSpPr/>
        </xdr:nvGrpSpPr>
        <xdr:grpSpPr>
          <a:xfrm rot="15607441">
            <a:off x="11236841" y="1057887"/>
            <a:ext cx="951942" cy="1034342"/>
            <a:chOff x="12674600" y="781758"/>
            <a:chExt cx="949734" cy="1034342"/>
          </a:xfrm>
        </xdr:grpSpPr>
        <xdr:cxnSp macro="">
          <xdr:nvCxnSpPr>
            <xdr:cNvPr id="141" name="Conector Reto 28">
              <a:extLst>
                <a:ext uri="{FF2B5EF4-FFF2-40B4-BE49-F238E27FC236}">
                  <a16:creationId xmlns:a16="http://schemas.microsoft.com/office/drawing/2014/main" id="{CC40ACF5-192C-E8DE-FD6A-3B025F91D448}"/>
                </a:ext>
              </a:extLst>
            </xdr:cNvPr>
            <xdr:cNvCxnSpPr/>
          </xdr:nvCxnSpPr>
          <xdr:spPr>
            <a:xfrm flipV="1">
              <a:off x="12674600" y="1143000"/>
              <a:ext cx="558800" cy="67310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2" name="Oval 29">
              <a:extLst>
                <a:ext uri="{FF2B5EF4-FFF2-40B4-BE49-F238E27FC236}">
                  <a16:creationId xmlns:a16="http://schemas.microsoft.com/office/drawing/2014/main" id="{6F629814-E5BF-E6A2-2582-0AF0EC96E570}"/>
                </a:ext>
              </a:extLst>
            </xdr:cNvPr>
            <xdr:cNvSpPr>
              <a:spLocks noChangeAspect="1"/>
            </xdr:cNvSpPr>
          </xdr:nvSpPr>
          <xdr:spPr>
            <a:xfrm>
              <a:off x="13155786" y="781758"/>
              <a:ext cx="468548" cy="43160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3">
        <xdr:nvSpPr>
          <xdr:cNvPr id="138" name="CaixaDeTexto 137">
            <a:extLst>
              <a:ext uri="{FF2B5EF4-FFF2-40B4-BE49-F238E27FC236}">
                <a16:creationId xmlns:a16="http://schemas.microsoft.com/office/drawing/2014/main" id="{7896F49A-67C7-EBCA-419F-F32B590A2053}"/>
              </a:ext>
            </a:extLst>
          </xdr:cNvPr>
          <xdr:cNvSpPr txBox="1"/>
        </xdr:nvSpPr>
        <xdr:spPr>
          <a:xfrm>
            <a:off x="11094514" y="1201943"/>
            <a:ext cx="571500" cy="3937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013114E-200A-4E42-9213-FE3E24EB19F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4">
        <xdr:nvSpPr>
          <xdr:cNvPr id="139" name="CaixaDeTexto 138">
            <a:extLst>
              <a:ext uri="{FF2B5EF4-FFF2-40B4-BE49-F238E27FC236}">
                <a16:creationId xmlns:a16="http://schemas.microsoft.com/office/drawing/2014/main" id="{0656ED88-670A-F7D9-C9EC-79B9A61466B8}"/>
              </a:ext>
            </a:extLst>
          </xdr:cNvPr>
          <xdr:cNvSpPr txBox="1"/>
        </xdr:nvSpPr>
        <xdr:spPr>
          <a:xfrm>
            <a:off x="10603524" y="709572"/>
            <a:ext cx="1371600" cy="2921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26A772D-38EA-C34D-970B-CC5A94597FF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 Var 8</a:t>
            </a:fld>
            <a:endParaRPr lang="pt-BR" sz="1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3">
        <xdr:nvSpPr>
          <xdr:cNvPr id="140" name="CaixaDeTexto 139">
            <a:extLst>
              <a:ext uri="{FF2B5EF4-FFF2-40B4-BE49-F238E27FC236}">
                <a16:creationId xmlns:a16="http://schemas.microsoft.com/office/drawing/2014/main" id="{ABD6D486-C18D-881F-EF5B-65C8539C4798}"/>
              </a:ext>
            </a:extLst>
          </xdr:cNvPr>
          <xdr:cNvSpPr txBox="1"/>
        </xdr:nvSpPr>
        <xdr:spPr>
          <a:xfrm>
            <a:off x="10651393" y="893234"/>
            <a:ext cx="1366714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9152FE4-9880-324A-A7F1-E78A9CD40760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14</xdr:col>
      <xdr:colOff>824997</xdr:colOff>
      <xdr:row>13</xdr:row>
      <xdr:rowOff>57318</xdr:rowOff>
    </xdr:from>
    <xdr:to>
      <xdr:col>17</xdr:col>
      <xdr:colOff>89021</xdr:colOff>
      <xdr:row>20</xdr:row>
      <xdr:rowOff>175726</xdr:rowOff>
    </xdr:to>
    <xdr:grpSp>
      <xdr:nvGrpSpPr>
        <xdr:cNvPr id="143" name="Despesa7">
          <a:extLst>
            <a:ext uri="{FF2B5EF4-FFF2-40B4-BE49-F238E27FC236}">
              <a16:creationId xmlns:a16="http://schemas.microsoft.com/office/drawing/2014/main" id="{237461C4-4EB0-4720-88E1-7D292BBA7B71}"/>
            </a:ext>
          </a:extLst>
        </xdr:cNvPr>
        <xdr:cNvGrpSpPr/>
      </xdr:nvGrpSpPr>
      <xdr:grpSpPr>
        <a:xfrm>
          <a:off x="13419164" y="2533818"/>
          <a:ext cx="1962774" cy="1451908"/>
          <a:chOff x="12453064" y="2467957"/>
          <a:chExt cx="1651837" cy="1548490"/>
        </a:xfrm>
      </xdr:grpSpPr>
      <xdr:grpSp>
        <xdr:nvGrpSpPr>
          <xdr:cNvPr id="144" name="Agrupar 143">
            <a:extLst>
              <a:ext uri="{FF2B5EF4-FFF2-40B4-BE49-F238E27FC236}">
                <a16:creationId xmlns:a16="http://schemas.microsoft.com/office/drawing/2014/main" id="{A68DB321-AADB-258C-1CC0-3C913A1F7DB4}"/>
              </a:ext>
            </a:extLst>
          </xdr:cNvPr>
          <xdr:cNvGrpSpPr/>
        </xdr:nvGrpSpPr>
        <xdr:grpSpPr>
          <a:xfrm rot="6910962">
            <a:off x="12428739" y="2492282"/>
            <a:ext cx="958231" cy="909582"/>
            <a:chOff x="12674851" y="781757"/>
            <a:chExt cx="949357" cy="920889"/>
          </a:xfrm>
        </xdr:grpSpPr>
        <xdr:cxnSp macro="">
          <xdr:nvCxnSpPr>
            <xdr:cNvPr id="148" name="Conector Reto 31">
              <a:extLst>
                <a:ext uri="{FF2B5EF4-FFF2-40B4-BE49-F238E27FC236}">
                  <a16:creationId xmlns:a16="http://schemas.microsoft.com/office/drawing/2014/main" id="{BBC74C16-9454-A78C-398E-2232B8B90813}"/>
                </a:ext>
              </a:extLst>
            </xdr:cNvPr>
            <xdr:cNvCxnSpPr/>
          </xdr:nvCxnSpPr>
          <xdr:spPr>
            <a:xfrm rot="14689038">
              <a:off x="12837113" y="1020434"/>
              <a:ext cx="519950" cy="844474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49" name="Oval 32">
              <a:extLst>
                <a:ext uri="{FF2B5EF4-FFF2-40B4-BE49-F238E27FC236}">
                  <a16:creationId xmlns:a16="http://schemas.microsoft.com/office/drawing/2014/main" id="{60BA19C7-CB4E-A841-A952-7C041EE34046}"/>
                </a:ext>
              </a:extLst>
            </xdr:cNvPr>
            <xdr:cNvSpPr>
              <a:spLocks noChangeAspect="1"/>
            </xdr:cNvSpPr>
          </xdr:nvSpPr>
          <xdr:spPr>
            <a:xfrm>
              <a:off x="13155788" y="781757"/>
              <a:ext cx="468420" cy="41508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2">
        <xdr:nvSpPr>
          <xdr:cNvPr id="145" name="CaixaDeTexto 144">
            <a:extLst>
              <a:ext uri="{FF2B5EF4-FFF2-40B4-BE49-F238E27FC236}">
                <a16:creationId xmlns:a16="http://schemas.microsoft.com/office/drawing/2014/main" id="{F4B5C1B8-16DA-8C01-2B81-752C52D73AF3}"/>
              </a:ext>
            </a:extLst>
          </xdr:cNvPr>
          <xdr:cNvSpPr txBox="1"/>
        </xdr:nvSpPr>
        <xdr:spPr>
          <a:xfrm>
            <a:off x="12783220" y="3102247"/>
            <a:ext cx="571500" cy="395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AE0945D-21F2-3C4C-B533-E696F362EE2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3">
        <xdr:nvSpPr>
          <xdr:cNvPr id="146" name="CaixaDeTexto 145">
            <a:extLst>
              <a:ext uri="{FF2B5EF4-FFF2-40B4-BE49-F238E27FC236}">
                <a16:creationId xmlns:a16="http://schemas.microsoft.com/office/drawing/2014/main" id="{220A71D8-C9C2-D6F3-854A-2588927C7866}"/>
              </a:ext>
            </a:extLst>
          </xdr:cNvPr>
          <xdr:cNvSpPr txBox="1"/>
        </xdr:nvSpPr>
        <xdr:spPr>
          <a:xfrm>
            <a:off x="12728416" y="3486375"/>
            <a:ext cx="1376485" cy="29405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6206CBC-82F8-AE45-B648-3106693DA039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Farmácia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2">
        <xdr:nvSpPr>
          <xdr:cNvPr id="147" name="CaixaDeTexto 146">
            <a:extLst>
              <a:ext uri="{FF2B5EF4-FFF2-40B4-BE49-F238E27FC236}">
                <a16:creationId xmlns:a16="http://schemas.microsoft.com/office/drawing/2014/main" id="{23B45339-1BA7-FFE1-C83D-701AEE6D5C5A}"/>
              </a:ext>
            </a:extLst>
          </xdr:cNvPr>
          <xdr:cNvSpPr txBox="1"/>
        </xdr:nvSpPr>
        <xdr:spPr>
          <a:xfrm>
            <a:off x="12722705" y="3726301"/>
            <a:ext cx="1371599" cy="2901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D1E8EC4-D498-5C44-B1FD-F8692FC92A9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13</xdr:col>
      <xdr:colOff>267909</xdr:colOff>
      <xdr:row>12</xdr:row>
      <xdr:rowOff>178492</xdr:rowOff>
    </xdr:from>
    <xdr:to>
      <xdr:col>14</xdr:col>
      <xdr:colOff>736380</xdr:colOff>
      <xdr:row>24</xdr:row>
      <xdr:rowOff>28839</xdr:rowOff>
    </xdr:to>
    <xdr:grpSp>
      <xdr:nvGrpSpPr>
        <xdr:cNvPr id="150" name="Despesa10">
          <a:extLst>
            <a:ext uri="{FF2B5EF4-FFF2-40B4-BE49-F238E27FC236}">
              <a16:creationId xmlns:a16="http://schemas.microsoft.com/office/drawing/2014/main" id="{BA5E8C8C-DB20-416C-A980-97DE755D248E}"/>
            </a:ext>
          </a:extLst>
        </xdr:cNvPr>
        <xdr:cNvGrpSpPr/>
      </xdr:nvGrpSpPr>
      <xdr:grpSpPr>
        <a:xfrm>
          <a:off x="11962492" y="2464492"/>
          <a:ext cx="1368055" cy="2136347"/>
          <a:chOff x="11153531" y="2298701"/>
          <a:chExt cx="1408723" cy="2291861"/>
        </a:xfrm>
      </xdr:grpSpPr>
      <xdr:grpSp>
        <xdr:nvGrpSpPr>
          <xdr:cNvPr id="151" name="Agrupar 150">
            <a:extLst>
              <a:ext uri="{FF2B5EF4-FFF2-40B4-BE49-F238E27FC236}">
                <a16:creationId xmlns:a16="http://schemas.microsoft.com/office/drawing/2014/main" id="{910B556B-6436-2831-9644-9A853F386C52}"/>
              </a:ext>
            </a:extLst>
          </xdr:cNvPr>
          <xdr:cNvGrpSpPr/>
        </xdr:nvGrpSpPr>
        <xdr:grpSpPr>
          <a:xfrm>
            <a:off x="11772746" y="2298701"/>
            <a:ext cx="683837" cy="1819239"/>
            <a:chOff x="11772746" y="2275417"/>
            <a:chExt cx="683837" cy="1800090"/>
          </a:xfrm>
        </xdr:grpSpPr>
        <xdr:cxnSp macro="">
          <xdr:nvCxnSpPr>
            <xdr:cNvPr id="155" name="Conector Reto 34">
              <a:extLst>
                <a:ext uri="{FF2B5EF4-FFF2-40B4-BE49-F238E27FC236}">
                  <a16:creationId xmlns:a16="http://schemas.microsoft.com/office/drawing/2014/main" id="{CACD5DEA-ADF9-85E5-C247-EB9966D447AB}"/>
                </a:ext>
              </a:extLst>
            </xdr:cNvPr>
            <xdr:cNvCxnSpPr/>
          </xdr:nvCxnSpPr>
          <xdr:spPr>
            <a:xfrm flipH="1">
              <a:off x="12096750" y="2275417"/>
              <a:ext cx="359833" cy="1375833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56" name="Oval 35">
              <a:extLst>
                <a:ext uri="{FF2B5EF4-FFF2-40B4-BE49-F238E27FC236}">
                  <a16:creationId xmlns:a16="http://schemas.microsoft.com/office/drawing/2014/main" id="{0F2FDBED-EDCF-BF80-5296-5624032B3AE0}"/>
                </a:ext>
              </a:extLst>
            </xdr:cNvPr>
            <xdr:cNvSpPr>
              <a:spLocks noChangeAspect="1"/>
            </xdr:cNvSpPr>
          </xdr:nvSpPr>
          <xdr:spPr>
            <a:xfrm rot="9495568">
              <a:off x="11772746" y="3602890"/>
              <a:ext cx="470311" cy="472617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5">
        <xdr:nvSpPr>
          <xdr:cNvPr id="152" name="CaixaDeTexto 151">
            <a:extLst>
              <a:ext uri="{FF2B5EF4-FFF2-40B4-BE49-F238E27FC236}">
                <a16:creationId xmlns:a16="http://schemas.microsoft.com/office/drawing/2014/main" id="{DBD42A60-7A3F-29E0-CF6A-987BC27FD896}"/>
              </a:ext>
            </a:extLst>
          </xdr:cNvPr>
          <xdr:cNvSpPr txBox="1"/>
        </xdr:nvSpPr>
        <xdr:spPr>
          <a:xfrm>
            <a:off x="11738552" y="3704484"/>
            <a:ext cx="571500" cy="393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D596FEB9-DACC-874A-9901-2BC737F1D33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6">
        <xdr:nvSpPr>
          <xdr:cNvPr id="153" name="CaixaDeTexto 152">
            <a:extLst>
              <a:ext uri="{FF2B5EF4-FFF2-40B4-BE49-F238E27FC236}">
                <a16:creationId xmlns:a16="http://schemas.microsoft.com/office/drawing/2014/main" id="{4AD40798-70D0-ED1B-54D6-4C44266BD1A4}"/>
              </a:ext>
            </a:extLst>
          </xdr:cNvPr>
          <xdr:cNvSpPr txBox="1"/>
        </xdr:nvSpPr>
        <xdr:spPr>
          <a:xfrm>
            <a:off x="11153531" y="4097216"/>
            <a:ext cx="1371601" cy="294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C5C8AA13-DFE3-AE46-80DC-9B557124307D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5">
        <xdr:nvSpPr>
          <xdr:cNvPr id="154" name="CaixaDeTexto 153">
            <a:extLst>
              <a:ext uri="{FF2B5EF4-FFF2-40B4-BE49-F238E27FC236}">
                <a16:creationId xmlns:a16="http://schemas.microsoft.com/office/drawing/2014/main" id="{D72F0995-A492-DFA3-DAF3-1F01E2F951B6}"/>
              </a:ext>
            </a:extLst>
          </xdr:cNvPr>
          <xdr:cNvSpPr txBox="1"/>
        </xdr:nvSpPr>
        <xdr:spPr>
          <a:xfrm>
            <a:off x="11195539" y="4298462"/>
            <a:ext cx="1366715" cy="292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375E3847-8930-7B46-A70F-DF05A1A9BDF9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12</xdr:col>
      <xdr:colOff>570865</xdr:colOff>
      <xdr:row>12</xdr:row>
      <xdr:rowOff>99862</xdr:rowOff>
    </xdr:from>
    <xdr:to>
      <xdr:col>14</xdr:col>
      <xdr:colOff>507293</xdr:colOff>
      <xdr:row>19</xdr:row>
      <xdr:rowOff>181694</xdr:rowOff>
    </xdr:to>
    <xdr:grpSp>
      <xdr:nvGrpSpPr>
        <xdr:cNvPr id="157" name="Despesa9">
          <a:extLst>
            <a:ext uri="{FF2B5EF4-FFF2-40B4-BE49-F238E27FC236}">
              <a16:creationId xmlns:a16="http://schemas.microsoft.com/office/drawing/2014/main" id="{FEE5A805-3B34-4421-8E56-6DB5AFC23145}"/>
            </a:ext>
          </a:extLst>
        </xdr:cNvPr>
        <xdr:cNvGrpSpPr/>
      </xdr:nvGrpSpPr>
      <xdr:grpSpPr>
        <a:xfrm>
          <a:off x="11365865" y="2385862"/>
          <a:ext cx="1735595" cy="1415332"/>
          <a:chOff x="10761785" y="2210506"/>
          <a:chExt cx="1579172" cy="1501802"/>
        </a:xfrm>
      </xdr:grpSpPr>
      <xdr:grpSp>
        <xdr:nvGrpSpPr>
          <xdr:cNvPr id="158" name="Agrupar 157">
            <a:extLst>
              <a:ext uri="{FF2B5EF4-FFF2-40B4-BE49-F238E27FC236}">
                <a16:creationId xmlns:a16="http://schemas.microsoft.com/office/drawing/2014/main" id="{08C4DFA7-64D3-A001-FD8A-5014BAE13613}"/>
              </a:ext>
            </a:extLst>
          </xdr:cNvPr>
          <xdr:cNvGrpSpPr/>
        </xdr:nvGrpSpPr>
        <xdr:grpSpPr>
          <a:xfrm rot="10800000">
            <a:off x="11430015" y="2210506"/>
            <a:ext cx="910942" cy="1032227"/>
            <a:chOff x="12674600" y="781756"/>
            <a:chExt cx="910942" cy="1034344"/>
          </a:xfrm>
        </xdr:grpSpPr>
        <xdr:cxnSp macro="">
          <xdr:nvCxnSpPr>
            <xdr:cNvPr id="162" name="Conector Reto 40">
              <a:extLst>
                <a:ext uri="{FF2B5EF4-FFF2-40B4-BE49-F238E27FC236}">
                  <a16:creationId xmlns:a16="http://schemas.microsoft.com/office/drawing/2014/main" id="{C98757F5-5049-19C7-A506-AC310577C6DF}"/>
                </a:ext>
              </a:extLst>
            </xdr:cNvPr>
            <xdr:cNvCxnSpPr/>
          </xdr:nvCxnSpPr>
          <xdr:spPr>
            <a:xfrm flipV="1">
              <a:off x="12674600" y="1143000"/>
              <a:ext cx="558800" cy="673100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63" name="Oval 41">
              <a:extLst>
                <a:ext uri="{FF2B5EF4-FFF2-40B4-BE49-F238E27FC236}">
                  <a16:creationId xmlns:a16="http://schemas.microsoft.com/office/drawing/2014/main" id="{7F5C786A-0935-8D8B-16F5-24846F679B2C}"/>
                </a:ext>
              </a:extLst>
            </xdr:cNvPr>
            <xdr:cNvSpPr>
              <a:spLocks noChangeAspect="1"/>
            </xdr:cNvSpPr>
          </xdr:nvSpPr>
          <xdr:spPr>
            <a:xfrm>
              <a:off x="13155789" y="781756"/>
              <a:ext cx="429753" cy="471678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H34">
        <xdr:nvSpPr>
          <xdr:cNvPr id="159" name="CaixaDeTexto 158">
            <a:extLst>
              <a:ext uri="{FF2B5EF4-FFF2-40B4-BE49-F238E27FC236}">
                <a16:creationId xmlns:a16="http://schemas.microsoft.com/office/drawing/2014/main" id="{20EDD680-1029-FB7B-3FC7-6341B8EBBD2C}"/>
              </a:ext>
            </a:extLst>
          </xdr:cNvPr>
          <xdr:cNvSpPr txBox="1"/>
        </xdr:nvSpPr>
        <xdr:spPr>
          <a:xfrm>
            <a:off x="11338421" y="2825455"/>
            <a:ext cx="571500" cy="39174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56A7448-B04F-BF40-AA6B-A7EFACD252C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I15">
        <xdr:nvSpPr>
          <xdr:cNvPr id="160" name="CaixaDeTexto 159">
            <a:extLst>
              <a:ext uri="{FF2B5EF4-FFF2-40B4-BE49-F238E27FC236}">
                <a16:creationId xmlns:a16="http://schemas.microsoft.com/office/drawing/2014/main" id="{4BC2A5E5-96DD-DEF3-70DE-5DFC7DDE8B7C}"/>
              </a:ext>
            </a:extLst>
          </xdr:cNvPr>
          <xdr:cNvSpPr txBox="1"/>
        </xdr:nvSpPr>
        <xdr:spPr>
          <a:xfrm>
            <a:off x="10807700" y="3211147"/>
            <a:ext cx="1376485" cy="2921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DAD2368-CBDA-1F46-BEDC-4C2FCBFCE38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 Var 9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  <a:ea typeface="+mn-ea"/>
              <a:cs typeface="+mn-cs"/>
            </a:endParaRPr>
          </a:p>
        </xdr:txBody>
      </xdr:sp>
      <xdr:sp macro="" textlink="Tabelas!G34">
        <xdr:nvSpPr>
          <xdr:cNvPr id="161" name="CaixaDeTexto 160">
            <a:extLst>
              <a:ext uri="{FF2B5EF4-FFF2-40B4-BE49-F238E27FC236}">
                <a16:creationId xmlns:a16="http://schemas.microsoft.com/office/drawing/2014/main" id="{37C2982D-3BE0-F2EF-BD44-9901E9D2340E}"/>
              </a:ext>
            </a:extLst>
          </xdr:cNvPr>
          <xdr:cNvSpPr txBox="1"/>
        </xdr:nvSpPr>
        <xdr:spPr>
          <a:xfrm>
            <a:off x="10761785" y="3422161"/>
            <a:ext cx="1371599" cy="29014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4B3DCE5-3DB5-A745-B3C2-F4AF46DE0F5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13</xdr:col>
      <xdr:colOff>98774</xdr:colOff>
      <xdr:row>10</xdr:row>
      <xdr:rowOff>112149</xdr:rowOff>
    </xdr:from>
    <xdr:to>
      <xdr:col>15</xdr:col>
      <xdr:colOff>121553</xdr:colOff>
      <xdr:row>13</xdr:row>
      <xdr:rowOff>42524</xdr:rowOff>
    </xdr:to>
    <xdr:grpSp>
      <xdr:nvGrpSpPr>
        <xdr:cNvPr id="90" name="Agrupar 89">
          <a:extLst>
            <a:ext uri="{FF2B5EF4-FFF2-40B4-BE49-F238E27FC236}">
              <a16:creationId xmlns:a16="http://schemas.microsoft.com/office/drawing/2014/main" id="{1630DBAD-E2E4-4325-8FEF-62FE156B7689}"/>
            </a:ext>
          </a:extLst>
        </xdr:cNvPr>
        <xdr:cNvGrpSpPr/>
      </xdr:nvGrpSpPr>
      <xdr:grpSpPr>
        <a:xfrm>
          <a:off x="11793357" y="2017149"/>
          <a:ext cx="1821946" cy="501875"/>
          <a:chOff x="11027831" y="1612898"/>
          <a:chExt cx="1658404" cy="527058"/>
        </a:xfrm>
      </xdr:grpSpPr>
      <xdr:cxnSp macro="">
        <xdr:nvCxnSpPr>
          <xdr:cNvPr id="91" name="Conector Reto 83">
            <a:extLst>
              <a:ext uri="{FF2B5EF4-FFF2-40B4-BE49-F238E27FC236}">
                <a16:creationId xmlns:a16="http://schemas.microsoft.com/office/drawing/2014/main" id="{35DB75E2-4F26-D1C2-521F-F9DFD21FDC45}"/>
              </a:ext>
            </a:extLst>
          </xdr:cNvPr>
          <xdr:cNvCxnSpPr/>
        </xdr:nvCxnSpPr>
        <xdr:spPr>
          <a:xfrm flipV="1">
            <a:off x="11027831" y="1866900"/>
            <a:ext cx="1176868" cy="228946"/>
          </a:xfrm>
          <a:prstGeom prst="line">
            <a:avLst/>
          </a:prstGeom>
          <a:ln w="15875">
            <a:gradFill flip="none" rotWithShape="1">
              <a:gsLst>
                <a:gs pos="65000">
                  <a:srgbClr val="0A0D80"/>
                </a:gs>
                <a:gs pos="21000">
                  <a:srgbClr val="9BF8F2"/>
                </a:gs>
              </a:gsLst>
              <a:lin ang="10800000" scaled="1"/>
              <a:tileRect/>
            </a:gra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2" name="Rosca 84">
            <a:extLst>
              <a:ext uri="{FF2B5EF4-FFF2-40B4-BE49-F238E27FC236}">
                <a16:creationId xmlns:a16="http://schemas.microsoft.com/office/drawing/2014/main" id="{C578B681-CFBF-A874-A6F5-B07F3A6B6798}"/>
              </a:ext>
            </a:extLst>
          </xdr:cNvPr>
          <xdr:cNvSpPr>
            <a:spLocks noChangeAspect="1"/>
          </xdr:cNvSpPr>
        </xdr:nvSpPr>
        <xdr:spPr>
          <a:xfrm>
            <a:off x="12204699" y="1612898"/>
            <a:ext cx="481536" cy="527058"/>
          </a:xfrm>
          <a:prstGeom prst="donut">
            <a:avLst>
              <a:gd name="adj" fmla="val 8941"/>
            </a:avLst>
          </a:prstGeom>
          <a:solidFill>
            <a:srgbClr val="9BF8F2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chemeClr val="tx1"/>
              </a:solidFill>
            </a:endParaRPr>
          </a:p>
        </xdr:txBody>
      </xdr:sp>
    </xdr:grpSp>
    <xdr:clientData/>
  </xdr:twoCellAnchor>
  <xdr:twoCellAnchor>
    <xdr:from>
      <xdr:col>4</xdr:col>
      <xdr:colOff>739242</xdr:colOff>
      <xdr:row>4</xdr:row>
      <xdr:rowOff>114897</xdr:rowOff>
    </xdr:from>
    <xdr:to>
      <xdr:col>17</xdr:col>
      <xdr:colOff>750787</xdr:colOff>
      <xdr:row>46</xdr:row>
      <xdr:rowOff>111945</xdr:rowOff>
    </xdr:to>
    <xdr:graphicFrame macro="">
      <xdr:nvGraphicFramePr>
        <xdr:cNvPr id="298" name="Gráfico 297">
          <a:extLst>
            <a:ext uri="{FF2B5EF4-FFF2-40B4-BE49-F238E27FC236}">
              <a16:creationId xmlns:a16="http://schemas.microsoft.com/office/drawing/2014/main" id="{B551272C-4C34-49D4-AE88-C9105D9E9A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266700</xdr:colOff>
      <xdr:row>5</xdr:row>
      <xdr:rowOff>12700</xdr:rowOff>
    </xdr:from>
    <xdr:to>
      <xdr:col>3</xdr:col>
      <xdr:colOff>787400</xdr:colOff>
      <xdr:row>12</xdr:row>
      <xdr:rowOff>76200</xdr:rowOff>
    </xdr:to>
    <xdr:sp macro="" textlink="">
      <xdr:nvSpPr>
        <xdr:cNvPr id="2" name="Retângulo Arredondado 65">
          <a:extLst>
            <a:ext uri="{FF2B5EF4-FFF2-40B4-BE49-F238E27FC236}">
              <a16:creationId xmlns:a16="http://schemas.microsoft.com/office/drawing/2014/main" id="{D197DBB6-6050-4F0A-AE6D-05AE2A7F618A}"/>
            </a:ext>
          </a:extLst>
        </xdr:cNvPr>
        <xdr:cNvSpPr/>
      </xdr:nvSpPr>
      <xdr:spPr>
        <a:xfrm>
          <a:off x="266700" y="1009650"/>
          <a:ext cx="3009900" cy="1466850"/>
        </a:xfrm>
        <a:prstGeom prst="roundRect">
          <a:avLst>
            <a:gd name="adj" fmla="val 4701"/>
          </a:avLst>
        </a:prstGeom>
        <a:gradFill>
          <a:gsLst>
            <a:gs pos="2000">
              <a:srgbClr val="194AFE">
                <a:alpha val="30000"/>
              </a:srgbClr>
            </a:gs>
            <a:gs pos="100000">
              <a:schemeClr val="tx1"/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54610</xdr:colOff>
      <xdr:row>5</xdr:row>
      <xdr:rowOff>101600</xdr:rowOff>
    </xdr:from>
    <xdr:to>
      <xdr:col>3</xdr:col>
      <xdr:colOff>88900</xdr:colOff>
      <xdr:row>7</xdr:row>
      <xdr:rowOff>124968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BAA2004-920B-4BBB-8057-2ED18F83D5DB}"/>
            </a:ext>
          </a:extLst>
        </xdr:cNvPr>
        <xdr:cNvGrpSpPr/>
      </xdr:nvGrpSpPr>
      <xdr:grpSpPr>
        <a:xfrm>
          <a:off x="954193" y="1054100"/>
          <a:ext cx="1833457" cy="404368"/>
          <a:chOff x="435610" y="1244600"/>
          <a:chExt cx="1685290" cy="429768"/>
        </a:xfrm>
      </xdr:grpSpPr>
      <xdr:sp macro="" textlink="">
        <xdr:nvSpPr>
          <xdr:cNvPr id="4" name="Retângulo Arredondado 7">
            <a:extLst>
              <a:ext uri="{FF2B5EF4-FFF2-40B4-BE49-F238E27FC236}">
                <a16:creationId xmlns:a16="http://schemas.microsoft.com/office/drawing/2014/main" id="{E07CCC0B-15D0-79E6-74FF-F27FE7EB861F}"/>
              </a:ext>
            </a:extLst>
          </xdr:cNvPr>
          <xdr:cNvSpPr/>
        </xdr:nvSpPr>
        <xdr:spPr>
          <a:xfrm>
            <a:off x="435610" y="1244600"/>
            <a:ext cx="1685290" cy="429768"/>
          </a:xfrm>
          <a:prstGeom prst="roundRect">
            <a:avLst/>
          </a:prstGeom>
          <a:solidFill>
            <a:srgbClr val="194AFE"/>
          </a:solidFill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54CB14F4-4EB6-249C-7685-7FCA87013822}"/>
              </a:ext>
            </a:extLst>
          </xdr:cNvPr>
          <xdr:cNvSpPr txBox="1"/>
        </xdr:nvSpPr>
        <xdr:spPr>
          <a:xfrm>
            <a:off x="455083" y="1303607"/>
            <a:ext cx="1629834" cy="330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Controle</a:t>
            </a:r>
            <a:r>
              <a:rPr lang="pt-BR" sz="1400" baseline="0">
                <a:solidFill>
                  <a:schemeClr val="bg1"/>
                </a:solidFill>
                <a:latin typeface="Avenir Book" panose="02000503020000020003" pitchFamily="2" charset="0"/>
              </a:rPr>
              <a:t> Financeiro</a:t>
            </a:r>
            <a:endParaRPr lang="pt-BR" sz="14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0</xdr:col>
      <xdr:colOff>393700</xdr:colOff>
      <xdr:row>29</xdr:row>
      <xdr:rowOff>139700</xdr:rowOff>
    </xdr:from>
    <xdr:to>
      <xdr:col>4</xdr:col>
      <xdr:colOff>558800</xdr:colOff>
      <xdr:row>31</xdr:row>
      <xdr:rowOff>114300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50788D39-22F4-4C1E-AFB1-4A65325FBD5E}"/>
            </a:ext>
          </a:extLst>
        </xdr:cNvPr>
        <xdr:cNvSpPr txBox="1"/>
      </xdr:nvSpPr>
      <xdr:spPr>
        <a:xfrm>
          <a:off x="390525" y="5943600"/>
          <a:ext cx="3486150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800">
              <a:solidFill>
                <a:schemeClr val="bg1"/>
              </a:solidFill>
              <a:latin typeface="Avenir Book" panose="02000503020000020003" pitchFamily="2" charset="0"/>
            </a:rPr>
            <a:t>Principais Contas</a:t>
          </a:r>
          <a:r>
            <a:rPr lang="pt-BR" sz="1800" baseline="0">
              <a:solidFill>
                <a:schemeClr val="bg1"/>
              </a:solidFill>
              <a:latin typeface="Avenir Book" panose="02000503020000020003" pitchFamily="2" charset="0"/>
            </a:rPr>
            <a:t> Fixas</a:t>
          </a:r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0</xdr:col>
      <xdr:colOff>539039</xdr:colOff>
      <xdr:row>31</xdr:row>
      <xdr:rowOff>105337</xdr:rowOff>
    </xdr:from>
    <xdr:to>
      <xdr:col>2</xdr:col>
      <xdr:colOff>698500</xdr:colOff>
      <xdr:row>33</xdr:row>
      <xdr:rowOff>80150</xdr:rowOff>
    </xdr:to>
    <xdr:sp macro="" textlink="Personalização!B7">
      <xdr:nvSpPr>
        <xdr:cNvPr id="7" name="CaixaDeTexto 6">
          <a:extLst>
            <a:ext uri="{FF2B5EF4-FFF2-40B4-BE49-F238E27FC236}">
              <a16:creationId xmlns:a16="http://schemas.microsoft.com/office/drawing/2014/main" id="{BD5A1341-A305-4D24-B372-75316E4A2FDB}"/>
            </a:ext>
          </a:extLst>
        </xdr:cNvPr>
        <xdr:cNvSpPr txBox="1"/>
      </xdr:nvSpPr>
      <xdr:spPr>
        <a:xfrm>
          <a:off x="542214" y="6302937"/>
          <a:ext cx="1810461" cy="3812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80B63B7-C74F-5B49-A520-227717E8EDCE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Avenir Book" charset="0"/>
              <a:cs typeface="Calibri" panose="020F0502020204030204" pitchFamily="34" charset="0"/>
            </a:rPr>
            <a:pPr algn="l"/>
            <a:t>Aluguel + Condomínio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33</xdr:row>
      <xdr:rowOff>77263</xdr:rowOff>
    </xdr:from>
    <xdr:to>
      <xdr:col>2</xdr:col>
      <xdr:colOff>571498</xdr:colOff>
      <xdr:row>35</xdr:row>
      <xdr:rowOff>52076</xdr:rowOff>
    </xdr:to>
    <xdr:sp macro="" textlink="Personalização!B8">
      <xdr:nvSpPr>
        <xdr:cNvPr id="8" name="CaixaDeTexto 7">
          <a:extLst>
            <a:ext uri="{FF2B5EF4-FFF2-40B4-BE49-F238E27FC236}">
              <a16:creationId xmlns:a16="http://schemas.microsoft.com/office/drawing/2014/main" id="{810EB49D-1A35-4CD9-8420-0E807E7378F5}"/>
            </a:ext>
          </a:extLst>
        </xdr:cNvPr>
        <xdr:cNvSpPr txBox="1"/>
      </xdr:nvSpPr>
      <xdr:spPr>
        <a:xfrm>
          <a:off x="542214" y="6678088"/>
          <a:ext cx="1686634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B1577CC1-4918-CE4E-BB02-ED1E0642C77B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cs typeface="Calibri" panose="020F0502020204030204" pitchFamily="34" charset="0"/>
            </a:rPr>
            <a:pPr algn="l"/>
            <a:t>Água</a:t>
          </a:fld>
          <a:endParaRPr lang="en-US" b="0">
            <a:solidFill>
              <a:schemeClr val="bg1"/>
            </a:solidFill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35</xdr:row>
      <xdr:rowOff>82393</xdr:rowOff>
    </xdr:from>
    <xdr:to>
      <xdr:col>2</xdr:col>
      <xdr:colOff>673100</xdr:colOff>
      <xdr:row>37</xdr:row>
      <xdr:rowOff>57206</xdr:rowOff>
    </xdr:to>
    <xdr:sp macro="" textlink="Personalização!B9">
      <xdr:nvSpPr>
        <xdr:cNvPr id="9" name="CaixaDeTexto 8">
          <a:extLst>
            <a:ext uri="{FF2B5EF4-FFF2-40B4-BE49-F238E27FC236}">
              <a16:creationId xmlns:a16="http://schemas.microsoft.com/office/drawing/2014/main" id="{BC64AD0A-52F4-48A1-A711-DB2BACB8E724}"/>
            </a:ext>
          </a:extLst>
        </xdr:cNvPr>
        <xdr:cNvSpPr txBox="1"/>
      </xdr:nvSpPr>
      <xdr:spPr>
        <a:xfrm>
          <a:off x="542214" y="7010243"/>
          <a:ext cx="179141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5F841AE-2893-D948-9B86-C9E10CF7C892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Luz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37</xdr:row>
      <xdr:rowOff>79222</xdr:rowOff>
    </xdr:from>
    <xdr:to>
      <xdr:col>2</xdr:col>
      <xdr:colOff>723900</xdr:colOff>
      <xdr:row>39</xdr:row>
      <xdr:rowOff>54035</xdr:rowOff>
    </xdr:to>
    <xdr:sp macro="" textlink="Personalização!B10">
      <xdr:nvSpPr>
        <xdr:cNvPr id="10" name="CaixaDeTexto 9">
          <a:extLst>
            <a:ext uri="{FF2B5EF4-FFF2-40B4-BE49-F238E27FC236}">
              <a16:creationId xmlns:a16="http://schemas.microsoft.com/office/drawing/2014/main" id="{4A69A6FB-C3C9-48E8-95DD-1093CCD9A95A}"/>
            </a:ext>
          </a:extLst>
        </xdr:cNvPr>
        <xdr:cNvSpPr txBox="1"/>
      </xdr:nvSpPr>
      <xdr:spPr>
        <a:xfrm>
          <a:off x="542214" y="7327747"/>
          <a:ext cx="1839036" cy="2986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C6F20036-67E9-A24A-8FDB-9ED8FAA30E61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Internet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39</xdr:row>
      <xdr:rowOff>84352</xdr:rowOff>
    </xdr:from>
    <xdr:to>
      <xdr:col>2</xdr:col>
      <xdr:colOff>673100</xdr:colOff>
      <xdr:row>41</xdr:row>
      <xdr:rowOff>59165</xdr:rowOff>
    </xdr:to>
    <xdr:sp macro="" textlink="Personalização!B11">
      <xdr:nvSpPr>
        <xdr:cNvPr id="11" name="CaixaDeTexto 10">
          <a:extLst>
            <a:ext uri="{FF2B5EF4-FFF2-40B4-BE49-F238E27FC236}">
              <a16:creationId xmlns:a16="http://schemas.microsoft.com/office/drawing/2014/main" id="{8EADB3E8-49E2-415D-A6A1-9E73A30EDEE1}"/>
            </a:ext>
          </a:extLst>
        </xdr:cNvPr>
        <xdr:cNvSpPr txBox="1"/>
      </xdr:nvSpPr>
      <xdr:spPr>
        <a:xfrm>
          <a:off x="542214" y="7659902"/>
          <a:ext cx="179141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9E56F42-46FD-AC4D-9FB0-8CBB37FB7672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Financiamento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539038</xdr:colOff>
      <xdr:row>41</xdr:row>
      <xdr:rowOff>81181</xdr:rowOff>
    </xdr:from>
    <xdr:to>
      <xdr:col>2</xdr:col>
      <xdr:colOff>698499</xdr:colOff>
      <xdr:row>43</xdr:row>
      <xdr:rowOff>55994</xdr:rowOff>
    </xdr:to>
    <xdr:sp macro="" textlink="Personalização!B12">
      <xdr:nvSpPr>
        <xdr:cNvPr id="12" name="CaixaDeTexto 11">
          <a:extLst>
            <a:ext uri="{FF2B5EF4-FFF2-40B4-BE49-F238E27FC236}">
              <a16:creationId xmlns:a16="http://schemas.microsoft.com/office/drawing/2014/main" id="{A8A7B252-7D6F-4244-B937-FCB95C2E65B0}"/>
            </a:ext>
          </a:extLst>
        </xdr:cNvPr>
        <xdr:cNvSpPr txBox="1"/>
      </xdr:nvSpPr>
      <xdr:spPr>
        <a:xfrm>
          <a:off x="542213" y="7980581"/>
          <a:ext cx="181046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AB3D7DF3-4D16-7147-BDEB-EBB2B17BE6ED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Plano de Saúde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366516</xdr:colOff>
      <xdr:row>31</xdr:row>
      <xdr:rowOff>166052</xdr:rowOff>
    </xdr:from>
    <xdr:to>
      <xdr:col>0</xdr:col>
      <xdr:colOff>619391</xdr:colOff>
      <xdr:row>33</xdr:row>
      <xdr:rowOff>10911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ED005E91-CA7F-4984-82E1-8840411538F1}"/>
            </a:ext>
          </a:extLst>
        </xdr:cNvPr>
        <xdr:cNvSpPr txBox="1"/>
      </xdr:nvSpPr>
      <xdr:spPr>
        <a:xfrm>
          <a:off x="369691" y="6363652"/>
          <a:ext cx="246525" cy="2449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33</xdr:row>
      <xdr:rowOff>94306</xdr:rowOff>
    </xdr:from>
    <xdr:to>
      <xdr:col>0</xdr:col>
      <xdr:colOff>619391</xdr:colOff>
      <xdr:row>35</xdr:row>
      <xdr:rowOff>13872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337919F3-10DD-4F63-8BCF-9BE5CBE79EAA}"/>
            </a:ext>
          </a:extLst>
        </xdr:cNvPr>
        <xdr:cNvSpPr txBox="1"/>
      </xdr:nvSpPr>
      <xdr:spPr>
        <a:xfrm>
          <a:off x="369691" y="6695131"/>
          <a:ext cx="246525" cy="240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35</xdr:row>
      <xdr:rowOff>97267</xdr:rowOff>
    </xdr:from>
    <xdr:to>
      <xdr:col>0</xdr:col>
      <xdr:colOff>619391</xdr:colOff>
      <xdr:row>37</xdr:row>
      <xdr:rowOff>16832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625557E4-B103-4E39-9C89-8A8B4E824180}"/>
            </a:ext>
          </a:extLst>
        </xdr:cNvPr>
        <xdr:cNvSpPr txBox="1"/>
      </xdr:nvSpPr>
      <xdr:spPr>
        <a:xfrm>
          <a:off x="369691" y="7021942"/>
          <a:ext cx="246525" cy="243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37</xdr:row>
      <xdr:rowOff>100227</xdr:rowOff>
    </xdr:from>
    <xdr:to>
      <xdr:col>0</xdr:col>
      <xdr:colOff>619391</xdr:colOff>
      <xdr:row>39</xdr:row>
      <xdr:rowOff>19793</xdr:rowOff>
    </xdr:to>
    <xdr:sp macro="" textlink="">
      <xdr:nvSpPr>
        <xdr:cNvPr id="16" name="CaixaDeTexto 15">
          <a:extLst>
            <a:ext uri="{FF2B5EF4-FFF2-40B4-BE49-F238E27FC236}">
              <a16:creationId xmlns:a16="http://schemas.microsoft.com/office/drawing/2014/main" id="{4DB30058-D3EF-4A70-AD83-684140574362}"/>
            </a:ext>
          </a:extLst>
        </xdr:cNvPr>
        <xdr:cNvSpPr txBox="1"/>
      </xdr:nvSpPr>
      <xdr:spPr>
        <a:xfrm>
          <a:off x="369691" y="7351927"/>
          <a:ext cx="246525" cy="2402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39</xdr:row>
      <xdr:rowOff>103188</xdr:rowOff>
    </xdr:from>
    <xdr:to>
      <xdr:col>0</xdr:col>
      <xdr:colOff>619391</xdr:colOff>
      <xdr:row>41</xdr:row>
      <xdr:rowOff>22753</xdr:rowOff>
    </xdr:to>
    <xdr:sp macro="" textlink="">
      <xdr:nvSpPr>
        <xdr:cNvPr id="17" name="CaixaDeTexto 16">
          <a:extLst>
            <a:ext uri="{FF2B5EF4-FFF2-40B4-BE49-F238E27FC236}">
              <a16:creationId xmlns:a16="http://schemas.microsoft.com/office/drawing/2014/main" id="{3B360344-83AE-4639-8D74-93031B49621A}"/>
            </a:ext>
          </a:extLst>
        </xdr:cNvPr>
        <xdr:cNvSpPr txBox="1"/>
      </xdr:nvSpPr>
      <xdr:spPr>
        <a:xfrm>
          <a:off x="369691" y="7678738"/>
          <a:ext cx="246525" cy="243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41</xdr:row>
      <xdr:rowOff>106148</xdr:rowOff>
    </xdr:from>
    <xdr:to>
      <xdr:col>0</xdr:col>
      <xdr:colOff>619391</xdr:colOff>
      <xdr:row>43</xdr:row>
      <xdr:rowOff>25714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872169C-1ABF-418E-8381-C8E198E3024F}"/>
            </a:ext>
          </a:extLst>
        </xdr:cNvPr>
        <xdr:cNvSpPr txBox="1"/>
      </xdr:nvSpPr>
      <xdr:spPr>
        <a:xfrm>
          <a:off x="369691" y="7999198"/>
          <a:ext cx="246525" cy="249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19</xdr:col>
      <xdr:colOff>120650</xdr:colOff>
      <xdr:row>5</xdr:row>
      <xdr:rowOff>165100</xdr:rowOff>
    </xdr:from>
    <xdr:to>
      <xdr:col>21</xdr:col>
      <xdr:colOff>361950</xdr:colOff>
      <xdr:row>20</xdr:row>
      <xdr:rowOff>88900</xdr:rowOff>
    </xdr:to>
    <xdr:grpSp>
      <xdr:nvGrpSpPr>
        <xdr:cNvPr id="19" name="Agrupar 18">
          <a:extLst>
            <a:ext uri="{FF2B5EF4-FFF2-40B4-BE49-F238E27FC236}">
              <a16:creationId xmlns:a16="http://schemas.microsoft.com/office/drawing/2014/main" id="{A94DAD10-49A9-46C6-A1F1-41E9E7E26633}"/>
            </a:ext>
          </a:extLst>
        </xdr:cNvPr>
        <xdr:cNvGrpSpPr/>
      </xdr:nvGrpSpPr>
      <xdr:grpSpPr>
        <a:xfrm>
          <a:off x="17212733" y="1117600"/>
          <a:ext cx="2040467" cy="2781300"/>
          <a:chOff x="16224250" y="1181100"/>
          <a:chExt cx="1892300" cy="2971800"/>
        </a:xfrm>
      </xdr:grpSpPr>
      <xdr:sp macro="" textlink="">
        <xdr:nvSpPr>
          <xdr:cNvPr id="20" name="Retângulo Arredondado 232">
            <a:extLst>
              <a:ext uri="{FF2B5EF4-FFF2-40B4-BE49-F238E27FC236}">
                <a16:creationId xmlns:a16="http://schemas.microsoft.com/office/drawing/2014/main" id="{4B21EF23-2A11-461B-7D99-5C47BFA8A568}"/>
              </a:ext>
            </a:extLst>
          </xdr:cNvPr>
          <xdr:cNvSpPr/>
        </xdr:nvSpPr>
        <xdr:spPr>
          <a:xfrm>
            <a:off x="16224250" y="1181100"/>
            <a:ext cx="1892300" cy="2971800"/>
          </a:xfrm>
          <a:prstGeom prst="roundRect">
            <a:avLst>
              <a:gd name="adj" fmla="val 7466"/>
            </a:avLst>
          </a:prstGeom>
          <a:solidFill>
            <a:srgbClr val="070E2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1" name="CaixaDeTexto 20">
            <a:extLst>
              <a:ext uri="{FF2B5EF4-FFF2-40B4-BE49-F238E27FC236}">
                <a16:creationId xmlns:a16="http://schemas.microsoft.com/office/drawing/2014/main" id="{7B8E24E0-B1BB-6664-31B0-E8D5892279D2}"/>
              </a:ext>
            </a:extLst>
          </xdr:cNvPr>
          <xdr:cNvSpPr txBox="1"/>
        </xdr:nvSpPr>
        <xdr:spPr>
          <a:xfrm>
            <a:off x="16510000" y="1216052"/>
            <a:ext cx="1244600" cy="542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Despesa Média</a:t>
            </a:r>
          </a:p>
          <a:p>
            <a:pPr algn="ctr"/>
            <a:r>
              <a:rPr lang="pt-BR" sz="800">
                <a:solidFill>
                  <a:schemeClr val="bg1"/>
                </a:solidFill>
                <a:latin typeface="Avenir Book" panose="02000503020000020003" pitchFamily="2" charset="0"/>
              </a:rPr>
              <a:t>(Mensal)</a:t>
            </a:r>
            <a:endParaRPr lang="pt-BR" sz="105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graphicFrame macro="">
        <xdr:nvGraphicFramePr>
          <xdr:cNvPr id="22" name="Gráfico 21">
            <a:extLst>
              <a:ext uri="{FF2B5EF4-FFF2-40B4-BE49-F238E27FC236}">
                <a16:creationId xmlns:a16="http://schemas.microsoft.com/office/drawing/2014/main" id="{04A5700A-47F9-6F41-4CF9-F26142EB3ED7}"/>
              </a:ext>
            </a:extLst>
          </xdr:cNvPr>
          <xdr:cNvGraphicFramePr>
            <a:graphicFrameLocks/>
          </xdr:cNvGraphicFramePr>
        </xdr:nvGraphicFramePr>
        <xdr:xfrm>
          <a:off x="16498406" y="2438401"/>
          <a:ext cx="1343989" cy="167639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">
        <xdr:nvSpPr>
          <xdr:cNvPr id="23" name="CaixaDeTexto 22">
            <a:extLst>
              <a:ext uri="{FF2B5EF4-FFF2-40B4-BE49-F238E27FC236}">
                <a16:creationId xmlns:a16="http://schemas.microsoft.com/office/drawing/2014/main" id="{2B632A3C-E11C-3501-5A9B-212C1AFCDCF9}"/>
              </a:ext>
            </a:extLst>
          </xdr:cNvPr>
          <xdr:cNvSpPr txBox="1"/>
        </xdr:nvSpPr>
        <xdr:spPr>
          <a:xfrm>
            <a:off x="16319500" y="2143152"/>
            <a:ext cx="1676400" cy="542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Último</a:t>
            </a:r>
            <a:r>
              <a:rPr lang="pt-BR" sz="1200" baseline="0">
                <a:solidFill>
                  <a:schemeClr val="bg1"/>
                </a:solidFill>
                <a:latin typeface="Avenir Book" panose="02000503020000020003" pitchFamily="2" charset="0"/>
              </a:rPr>
              <a:t> Quadrimestre</a:t>
            </a:r>
            <a:endParaRPr lang="pt-BR" sz="1200">
              <a:solidFill>
                <a:schemeClr val="bg1"/>
              </a:solidFill>
              <a:latin typeface="Avenir Book" panose="02000503020000020003" pitchFamily="2" charset="0"/>
            </a:endParaRPr>
          </a:p>
          <a:p>
            <a:pPr algn="ctr"/>
            <a:endParaRPr lang="pt-BR" sz="105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9</xdr:col>
      <xdr:colOff>108348</xdr:colOff>
      <xdr:row>22</xdr:row>
      <xdr:rowOff>137208</xdr:rowOff>
    </xdr:from>
    <xdr:to>
      <xdr:col>10</xdr:col>
      <xdr:colOff>662509</xdr:colOff>
      <xdr:row>26</xdr:row>
      <xdr:rowOff>70351</xdr:rowOff>
    </xdr:to>
    <xdr:sp macro="" textlink="Tabelas!C33">
      <xdr:nvSpPr>
        <xdr:cNvPr id="33" name="CaixaDeTexto 32">
          <a:extLst>
            <a:ext uri="{FF2B5EF4-FFF2-40B4-BE49-F238E27FC236}">
              <a16:creationId xmlns:a16="http://schemas.microsoft.com/office/drawing/2014/main" id="{3C5A39EE-5303-5BAD-D152-1C3551DDD6C7}"/>
            </a:ext>
          </a:extLst>
        </xdr:cNvPr>
        <xdr:cNvSpPr txBox="1"/>
      </xdr:nvSpPr>
      <xdr:spPr>
        <a:xfrm>
          <a:off x="7537848" y="4201208"/>
          <a:ext cx="1379661" cy="67205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EDA23F8-1583-4BC6-B68B-2436E8D86E65}" type="TxLink">
            <a:rPr lang="en-US" sz="1200" b="0" i="0" u="none" strike="noStrike">
              <a:solidFill>
                <a:srgbClr val="000000"/>
              </a:solidFill>
              <a:latin typeface="Aptos Narrow"/>
              <a:cs typeface="Calibri"/>
            </a:rPr>
            <a:pPr algn="ctr"/>
            <a:t>0%</a:t>
          </a:fld>
          <a:endParaRPr lang="pt-BR" sz="6600">
            <a:solidFill>
              <a:schemeClr val="bg1"/>
            </a:solidFill>
            <a:latin typeface="Avenir Book" panose="02000503020000020003" pitchFamily="2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1</xdr:colOff>
      <xdr:row>0</xdr:row>
      <xdr:rowOff>0</xdr:rowOff>
    </xdr:from>
    <xdr:to>
      <xdr:col>26</xdr:col>
      <xdr:colOff>0</xdr:colOff>
      <xdr:row>1</xdr:row>
      <xdr:rowOff>183642</xdr:rowOff>
    </xdr:to>
    <xdr:grpSp>
      <xdr:nvGrpSpPr>
        <xdr:cNvPr id="35" name="Agrupar 34">
          <a:extLst>
            <a:ext uri="{FF2B5EF4-FFF2-40B4-BE49-F238E27FC236}">
              <a16:creationId xmlns:a16="http://schemas.microsoft.com/office/drawing/2014/main" id="{64899AF1-79B3-450A-B61B-E9D1C88538C6}"/>
            </a:ext>
          </a:extLst>
        </xdr:cNvPr>
        <xdr:cNvGrpSpPr/>
      </xdr:nvGrpSpPr>
      <xdr:grpSpPr>
        <a:xfrm>
          <a:off x="1" y="0"/>
          <a:ext cx="23389166" cy="374142"/>
          <a:chOff x="1" y="0"/>
          <a:chExt cx="21282362" cy="395903"/>
        </a:xfrm>
      </xdr:grpSpPr>
      <xdr:sp macro="" textlink="">
        <xdr:nvSpPr>
          <xdr:cNvPr id="36" name="Retângulo 35">
            <a:extLst>
              <a:ext uri="{FF2B5EF4-FFF2-40B4-BE49-F238E27FC236}">
                <a16:creationId xmlns:a16="http://schemas.microsoft.com/office/drawing/2014/main" id="{C101482F-530C-0E78-6BD3-992DD8C163BE}"/>
              </a:ext>
            </a:extLst>
          </xdr:cNvPr>
          <xdr:cNvSpPr/>
        </xdr:nvSpPr>
        <xdr:spPr>
          <a:xfrm>
            <a:off x="1" y="0"/>
            <a:ext cx="21282362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Personalização!C4">
        <xdr:nvSpPr>
          <xdr:cNvPr id="37" name="CaixaDeTexto 36">
            <a:extLst>
              <a:ext uri="{FF2B5EF4-FFF2-40B4-BE49-F238E27FC236}">
                <a16:creationId xmlns:a16="http://schemas.microsoft.com/office/drawing/2014/main" id="{42283F06-0194-23DA-FDF6-EAAE79D3C4FD}"/>
              </a:ext>
            </a:extLst>
          </xdr:cNvPr>
          <xdr:cNvSpPr txBox="1"/>
        </xdr:nvSpPr>
        <xdr:spPr>
          <a:xfrm>
            <a:off x="1375480" y="18853"/>
            <a:ext cx="427602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B4ABBAF-D8BA-184A-AFCA-7EF08AF0F286}" type="TxLink">
              <a:rPr lang="en-US" sz="14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Eduardo Silva</a:t>
            </a:fld>
            <a:endParaRPr lang="pt-BR" sz="18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">
        <xdr:nvSpPr>
          <xdr:cNvPr id="38" name="CaixaDeTexto 37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9ACD4C0-93E4-CDB7-5BA2-7549CA642F2E}"/>
              </a:ext>
            </a:extLst>
          </xdr:cNvPr>
          <xdr:cNvSpPr txBox="1"/>
        </xdr:nvSpPr>
        <xdr:spPr>
          <a:xfrm>
            <a:off x="13092981" y="0"/>
            <a:ext cx="912323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39" name="CaixaDeTexto 38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98A1F178-EAAE-E0E2-E362-0BE991EEF9CB}"/>
              </a:ext>
            </a:extLst>
          </xdr:cNvPr>
          <xdr:cNvSpPr txBox="1"/>
        </xdr:nvSpPr>
        <xdr:spPr>
          <a:xfrm>
            <a:off x="14281382" y="0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40" name="Retângulo Arredondado 105">
            <a:extLst>
              <a:ext uri="{FF2B5EF4-FFF2-40B4-BE49-F238E27FC236}">
                <a16:creationId xmlns:a16="http://schemas.microsoft.com/office/drawing/2014/main" id="{F7419C21-AD43-B0CA-166D-735620198A4B}"/>
              </a:ext>
            </a:extLst>
          </xdr:cNvPr>
          <xdr:cNvSpPr/>
        </xdr:nvSpPr>
        <xdr:spPr>
          <a:xfrm>
            <a:off x="13168169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0</xdr:col>
      <xdr:colOff>254000</xdr:colOff>
      <xdr:row>8</xdr:row>
      <xdr:rowOff>114300</xdr:rowOff>
    </xdr:from>
    <xdr:to>
      <xdr:col>0</xdr:col>
      <xdr:colOff>254000</xdr:colOff>
      <xdr:row>12</xdr:row>
      <xdr:rowOff>123825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1" name="Mês">
              <a:extLst>
                <a:ext uri="{FF2B5EF4-FFF2-40B4-BE49-F238E27FC236}">
                  <a16:creationId xmlns:a16="http://schemas.microsoft.com/office/drawing/2014/main" id="{F2C4D6B6-2663-4AFE-B938-119E2C0CB8A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4000" y="1587500"/>
              <a:ext cx="0" cy="746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13</xdr:col>
      <xdr:colOff>495300</xdr:colOff>
      <xdr:row>36</xdr:row>
      <xdr:rowOff>76200</xdr:rowOff>
    </xdr:from>
    <xdr:to>
      <xdr:col>15</xdr:col>
      <xdr:colOff>54352</xdr:colOff>
      <xdr:row>38</xdr:row>
      <xdr:rowOff>125930</xdr:rowOff>
    </xdr:to>
    <xdr:cxnSp macro="">
      <xdr:nvCxnSpPr>
        <xdr:cNvPr id="42" name="Conector Reto 131">
          <a:extLst>
            <a:ext uri="{FF2B5EF4-FFF2-40B4-BE49-F238E27FC236}">
              <a16:creationId xmlns:a16="http://schemas.microsoft.com/office/drawing/2014/main" id="{B33304DF-F308-4C6D-9587-B714A8A8EEB0}"/>
            </a:ext>
          </a:extLst>
        </xdr:cNvPr>
        <xdr:cNvCxnSpPr/>
      </xdr:nvCxnSpPr>
      <xdr:spPr>
        <a:xfrm>
          <a:off x="11268075" y="7124700"/>
          <a:ext cx="1216402" cy="370405"/>
        </a:xfrm>
        <a:prstGeom prst="line">
          <a:avLst/>
        </a:prstGeom>
        <a:ln w="15875">
          <a:gradFill flip="none" rotWithShape="1">
            <a:gsLst>
              <a:gs pos="65000">
                <a:srgbClr val="0A0D80"/>
              </a:gs>
              <a:gs pos="21000">
                <a:srgbClr val="9BF8F2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203200</xdr:colOff>
      <xdr:row>9</xdr:row>
      <xdr:rowOff>190500</xdr:rowOff>
    </xdr:from>
    <xdr:to>
      <xdr:col>9</xdr:col>
      <xdr:colOff>635000</xdr:colOff>
      <xdr:row>12</xdr:row>
      <xdr:rowOff>107915</xdr:rowOff>
    </xdr:to>
    <xdr:sp macro="" textlink="">
      <xdr:nvSpPr>
        <xdr:cNvPr id="43" name="CaixaDeTexto 42">
          <a:extLst>
            <a:ext uri="{FF2B5EF4-FFF2-40B4-BE49-F238E27FC236}">
              <a16:creationId xmlns:a16="http://schemas.microsoft.com/office/drawing/2014/main" id="{8409D572-E51C-479A-BD75-130374BE1120}"/>
            </a:ext>
          </a:extLst>
        </xdr:cNvPr>
        <xdr:cNvSpPr txBox="1"/>
      </xdr:nvSpPr>
      <xdr:spPr>
        <a:xfrm>
          <a:off x="6829425" y="1990725"/>
          <a:ext cx="1266825" cy="5143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Despesa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Fixa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11</xdr:col>
      <xdr:colOff>609600</xdr:colOff>
      <xdr:row>13</xdr:row>
      <xdr:rowOff>165100</xdr:rowOff>
    </xdr:from>
    <xdr:to>
      <xdr:col>13</xdr:col>
      <xdr:colOff>215900</xdr:colOff>
      <xdr:row>16</xdr:row>
      <xdr:rowOff>82515</xdr:rowOff>
    </xdr:to>
    <xdr:sp macro="" textlink="">
      <xdr:nvSpPr>
        <xdr:cNvPr id="44" name="CaixaDeTexto 43">
          <a:extLst>
            <a:ext uri="{FF2B5EF4-FFF2-40B4-BE49-F238E27FC236}">
              <a16:creationId xmlns:a16="http://schemas.microsoft.com/office/drawing/2014/main" id="{C71E2A9F-96AF-474A-938A-D52FC0605439}"/>
            </a:ext>
          </a:extLst>
        </xdr:cNvPr>
        <xdr:cNvSpPr txBox="1"/>
      </xdr:nvSpPr>
      <xdr:spPr>
        <a:xfrm>
          <a:off x="9725025" y="2762250"/>
          <a:ext cx="1266825" cy="5238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Despesa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Variável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11</xdr:col>
      <xdr:colOff>328083</xdr:colOff>
      <xdr:row>11</xdr:row>
      <xdr:rowOff>169333</xdr:rowOff>
    </xdr:from>
    <xdr:to>
      <xdr:col>13</xdr:col>
      <xdr:colOff>485775</xdr:colOff>
      <xdr:row>14</xdr:row>
      <xdr:rowOff>104740</xdr:rowOff>
    </xdr:to>
    <xdr:sp macro="" textlink="Tabelas!E21">
      <xdr:nvSpPr>
        <xdr:cNvPr id="45" name="CaixaDeTexto 44">
          <a:extLst>
            <a:ext uri="{FF2B5EF4-FFF2-40B4-BE49-F238E27FC236}">
              <a16:creationId xmlns:a16="http://schemas.microsoft.com/office/drawing/2014/main" id="{9C21CA4A-6E54-4F27-86B6-F25DB61020A5}"/>
            </a:ext>
          </a:extLst>
        </xdr:cNvPr>
        <xdr:cNvSpPr txBox="1"/>
      </xdr:nvSpPr>
      <xdr:spPr>
        <a:xfrm>
          <a:off x="9408583" y="2206625"/>
          <a:ext cx="1808692" cy="491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295AB65-3107-DA44-A7C6-DA0C631A96FC}" type="TxLink">
            <a:rPr lang="en-US" sz="18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6</xdr:col>
      <xdr:colOff>520700</xdr:colOff>
      <xdr:row>38</xdr:row>
      <xdr:rowOff>23884</xdr:rowOff>
    </xdr:from>
    <xdr:to>
      <xdr:col>7</xdr:col>
      <xdr:colOff>181200</xdr:colOff>
      <xdr:row>41</xdr:row>
      <xdr:rowOff>12468</xdr:rowOff>
    </xdr:to>
    <xdr:sp macro="" textlink="">
      <xdr:nvSpPr>
        <xdr:cNvPr id="47" name="Rosca 157">
          <a:extLst>
            <a:ext uri="{FF2B5EF4-FFF2-40B4-BE49-F238E27FC236}">
              <a16:creationId xmlns:a16="http://schemas.microsoft.com/office/drawing/2014/main" id="{2532FD3E-9BE8-4546-9736-8AA6FF0643D4}"/>
            </a:ext>
          </a:extLst>
        </xdr:cNvPr>
        <xdr:cNvSpPr>
          <a:spLocks noChangeAspect="1"/>
        </xdr:cNvSpPr>
      </xdr:nvSpPr>
      <xdr:spPr>
        <a:xfrm>
          <a:off x="5473700" y="6887176"/>
          <a:ext cx="486000" cy="486000"/>
        </a:xfrm>
        <a:prstGeom prst="donut">
          <a:avLst>
            <a:gd name="adj" fmla="val 8941"/>
          </a:avLst>
        </a:prstGeom>
        <a:solidFill>
          <a:srgbClr val="9BF8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451812</xdr:colOff>
      <xdr:row>12</xdr:row>
      <xdr:rowOff>112571</xdr:rowOff>
    </xdr:from>
    <xdr:to>
      <xdr:col>7</xdr:col>
      <xdr:colOff>197812</xdr:colOff>
      <xdr:row>14</xdr:row>
      <xdr:rowOff>99871</xdr:rowOff>
    </xdr:to>
    <xdr:sp macro="" textlink="Tabelas!D26">
      <xdr:nvSpPr>
        <xdr:cNvPr id="48" name="CaixaDeTexto 47">
          <a:extLst>
            <a:ext uri="{FF2B5EF4-FFF2-40B4-BE49-F238E27FC236}">
              <a16:creationId xmlns:a16="http://schemas.microsoft.com/office/drawing/2014/main" id="{3F246841-841D-4401-B148-CEA87A3440EA}"/>
            </a:ext>
          </a:extLst>
        </xdr:cNvPr>
        <xdr:cNvSpPr txBox="1"/>
      </xdr:nvSpPr>
      <xdr:spPr>
        <a:xfrm>
          <a:off x="5404812" y="2335071"/>
          <a:ext cx="571500" cy="35771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5474AB4-FC32-2441-9C77-51ABFF157058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9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6</xdr:col>
      <xdr:colOff>513224</xdr:colOff>
      <xdr:row>38</xdr:row>
      <xdr:rowOff>114433</xdr:rowOff>
    </xdr:from>
    <xdr:to>
      <xdr:col>7</xdr:col>
      <xdr:colOff>259224</xdr:colOff>
      <xdr:row>40</xdr:row>
      <xdr:rowOff>101733</xdr:rowOff>
    </xdr:to>
    <xdr:sp macro="" textlink="Tabelas!D28">
      <xdr:nvSpPr>
        <xdr:cNvPr id="49" name="CaixaDeTexto 48">
          <a:extLst>
            <a:ext uri="{FF2B5EF4-FFF2-40B4-BE49-F238E27FC236}">
              <a16:creationId xmlns:a16="http://schemas.microsoft.com/office/drawing/2014/main" id="{1118462F-579B-43E4-8BC3-D12CCD82DDCE}"/>
            </a:ext>
          </a:extLst>
        </xdr:cNvPr>
        <xdr:cNvSpPr txBox="1"/>
      </xdr:nvSpPr>
      <xdr:spPr>
        <a:xfrm>
          <a:off x="5466224" y="6977725"/>
          <a:ext cx="571500" cy="2995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F3262E-579B-7E44-9B66-4760D137E5DA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15</xdr:col>
      <xdr:colOff>0</xdr:colOff>
      <xdr:row>38</xdr:row>
      <xdr:rowOff>12700</xdr:rowOff>
    </xdr:from>
    <xdr:to>
      <xdr:col>15</xdr:col>
      <xdr:colOff>571500</xdr:colOff>
      <xdr:row>40</xdr:row>
      <xdr:rowOff>0</xdr:rowOff>
    </xdr:to>
    <xdr:sp macro="" textlink="Tabelas!D29">
      <xdr:nvSpPr>
        <xdr:cNvPr id="50" name="CaixaDeTexto 49">
          <a:extLst>
            <a:ext uri="{FF2B5EF4-FFF2-40B4-BE49-F238E27FC236}">
              <a16:creationId xmlns:a16="http://schemas.microsoft.com/office/drawing/2014/main" id="{737A2791-4DA4-4FA9-913B-6F41A751E789}"/>
            </a:ext>
          </a:extLst>
        </xdr:cNvPr>
        <xdr:cNvSpPr txBox="1"/>
      </xdr:nvSpPr>
      <xdr:spPr>
        <a:xfrm>
          <a:off x="12430125" y="7381875"/>
          <a:ext cx="571500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BE8C945-AF96-2741-B2F5-D719A7F594EA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7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7</xdr:col>
      <xdr:colOff>809625</xdr:colOff>
      <xdr:row>8</xdr:row>
      <xdr:rowOff>12700</xdr:rowOff>
    </xdr:from>
    <xdr:to>
      <xdr:col>10</xdr:col>
      <xdr:colOff>16934</xdr:colOff>
      <xdr:row>10</xdr:row>
      <xdr:rowOff>133315</xdr:rowOff>
    </xdr:to>
    <xdr:sp macro="" textlink="Tabelas!D21">
      <xdr:nvSpPr>
        <xdr:cNvPr id="51" name="CaixaDeTexto 50">
          <a:extLst>
            <a:ext uri="{FF2B5EF4-FFF2-40B4-BE49-F238E27FC236}">
              <a16:creationId xmlns:a16="http://schemas.microsoft.com/office/drawing/2014/main" id="{06B898CE-84D5-4856-8FF3-2013D454BEB8}"/>
            </a:ext>
          </a:extLst>
        </xdr:cNvPr>
        <xdr:cNvSpPr txBox="1"/>
      </xdr:nvSpPr>
      <xdr:spPr>
        <a:xfrm>
          <a:off x="6588125" y="1494367"/>
          <a:ext cx="1683809" cy="49103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67A21F-7958-F045-B79D-14031D8AE577}" type="TxLink">
            <a:rPr lang="en-US" sz="18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15</xdr:col>
      <xdr:colOff>266626</xdr:colOff>
      <xdr:row>29</xdr:row>
      <xdr:rowOff>152402</xdr:rowOff>
    </xdr:from>
    <xdr:to>
      <xdr:col>17</xdr:col>
      <xdr:colOff>452961</xdr:colOff>
      <xdr:row>37</xdr:row>
      <xdr:rowOff>63500</xdr:rowOff>
    </xdr:to>
    <xdr:grpSp>
      <xdr:nvGrpSpPr>
        <xdr:cNvPr id="65" name="Investimento1">
          <a:extLst>
            <a:ext uri="{FF2B5EF4-FFF2-40B4-BE49-F238E27FC236}">
              <a16:creationId xmlns:a16="http://schemas.microsoft.com/office/drawing/2014/main" id="{479A64A2-4639-4E80-8B40-7BE9D74D15A1}"/>
            </a:ext>
          </a:extLst>
        </xdr:cNvPr>
        <xdr:cNvGrpSpPr/>
      </xdr:nvGrpSpPr>
      <xdr:grpSpPr>
        <a:xfrm>
          <a:off x="13760376" y="5676902"/>
          <a:ext cx="1985502" cy="1308098"/>
          <a:chOff x="13603448" y="5833210"/>
          <a:chExt cx="1847242" cy="1396021"/>
        </a:xfrm>
      </xdr:grpSpPr>
      <xdr:grpSp>
        <xdr:nvGrpSpPr>
          <xdr:cNvPr id="66" name="Agrupar 65">
            <a:extLst>
              <a:ext uri="{FF2B5EF4-FFF2-40B4-BE49-F238E27FC236}">
                <a16:creationId xmlns:a16="http://schemas.microsoft.com/office/drawing/2014/main" id="{65F81E0E-9ED4-090A-0B92-F9764A4AB2F5}"/>
              </a:ext>
            </a:extLst>
          </xdr:cNvPr>
          <xdr:cNvGrpSpPr/>
        </xdr:nvGrpSpPr>
        <xdr:grpSpPr>
          <a:xfrm>
            <a:off x="13629054" y="6024251"/>
            <a:ext cx="479485" cy="1204980"/>
            <a:chOff x="13618633" y="5967589"/>
            <a:chExt cx="479485" cy="1195211"/>
          </a:xfrm>
        </xdr:grpSpPr>
        <xdr:cxnSp macro="">
          <xdr:nvCxnSpPr>
            <xdr:cNvPr id="70" name="Conector Reto 135">
              <a:extLst>
                <a:ext uri="{FF2B5EF4-FFF2-40B4-BE49-F238E27FC236}">
                  <a16:creationId xmlns:a16="http://schemas.microsoft.com/office/drawing/2014/main" id="{72D89F62-34CD-5D8E-BAEC-0C1540DEDCBD}"/>
                </a:ext>
              </a:extLst>
            </xdr:cNvPr>
            <xdr:cNvCxnSpPr/>
          </xdr:nvCxnSpPr>
          <xdr:spPr>
            <a:xfrm flipV="1">
              <a:off x="13618633" y="6343791"/>
              <a:ext cx="203200" cy="81900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1" name="Oval 136">
              <a:extLst>
                <a:ext uri="{FF2B5EF4-FFF2-40B4-BE49-F238E27FC236}">
                  <a16:creationId xmlns:a16="http://schemas.microsoft.com/office/drawing/2014/main" id="{E5BFAFCD-6D9D-217D-9DD7-058C98C330FF}"/>
                </a:ext>
              </a:extLst>
            </xdr:cNvPr>
            <xdr:cNvSpPr>
              <a:spLocks noChangeAspect="1"/>
            </xdr:cNvSpPr>
          </xdr:nvSpPr>
          <xdr:spPr>
            <a:xfrm>
              <a:off x="13663789" y="5967589"/>
              <a:ext cx="434329" cy="46867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6">
        <xdr:nvSpPr>
          <xdr:cNvPr id="67" name="CaixaDeTexto 66">
            <a:extLst>
              <a:ext uri="{FF2B5EF4-FFF2-40B4-BE49-F238E27FC236}">
                <a16:creationId xmlns:a16="http://schemas.microsoft.com/office/drawing/2014/main" id="{9DE3D1DD-14AE-4E05-C2E2-48E4D8DE3518}"/>
              </a:ext>
            </a:extLst>
          </xdr:cNvPr>
          <xdr:cNvSpPr txBox="1"/>
        </xdr:nvSpPr>
        <xdr:spPr>
          <a:xfrm>
            <a:off x="13603448" y="6054592"/>
            <a:ext cx="576384" cy="3970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90F2B4F5-4EFD-004E-AE66-367BAFC898A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ctr"/>
              <a:t>0%</a:t>
            </a:fld>
            <a:endParaRPr lang="pt-BR" sz="7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Personalização!F7">
        <xdr:nvSpPr>
          <xdr:cNvPr id="68" name="CaixaDeTexto 67">
            <a:extLst>
              <a:ext uri="{FF2B5EF4-FFF2-40B4-BE49-F238E27FC236}">
                <a16:creationId xmlns:a16="http://schemas.microsoft.com/office/drawing/2014/main" id="{E8EA7707-EA3B-0675-E45D-D6C45DDF2610}"/>
              </a:ext>
            </a:extLst>
          </xdr:cNvPr>
          <xdr:cNvSpPr txBox="1"/>
        </xdr:nvSpPr>
        <xdr:spPr>
          <a:xfrm>
            <a:off x="14035455" y="5833210"/>
            <a:ext cx="1178169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43C4962-043D-FF4E-969C-BB6199B00C04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Caixinha Nubank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Tabelas!K26">
        <xdr:nvSpPr>
          <xdr:cNvPr id="69" name="CaixaDeTexto 68">
            <a:extLst>
              <a:ext uri="{FF2B5EF4-FFF2-40B4-BE49-F238E27FC236}">
                <a16:creationId xmlns:a16="http://schemas.microsoft.com/office/drawing/2014/main" id="{AD82BDA1-B5B0-7A9D-9EB7-ACD12EFA9CC7}"/>
              </a:ext>
            </a:extLst>
          </xdr:cNvPr>
          <xdr:cNvSpPr txBox="1"/>
        </xdr:nvSpPr>
        <xdr:spPr>
          <a:xfrm>
            <a:off x="14073555" y="5987563"/>
            <a:ext cx="1377135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8BDD0B7E-F9EC-4B49-BEA4-1BD203117D6A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 -   </a:t>
            </a:fld>
            <a:endParaRPr lang="pt-BR" sz="8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15</xdr:col>
      <xdr:colOff>482600</xdr:colOff>
      <xdr:row>32</xdr:row>
      <xdr:rowOff>135468</xdr:rowOff>
    </xdr:from>
    <xdr:to>
      <xdr:col>19</xdr:col>
      <xdr:colOff>1</xdr:colOff>
      <xdr:row>38</xdr:row>
      <xdr:rowOff>25400</xdr:rowOff>
    </xdr:to>
    <xdr:grpSp>
      <xdr:nvGrpSpPr>
        <xdr:cNvPr id="72" name="Investimento2">
          <a:extLst>
            <a:ext uri="{FF2B5EF4-FFF2-40B4-BE49-F238E27FC236}">
              <a16:creationId xmlns:a16="http://schemas.microsoft.com/office/drawing/2014/main" id="{FA49BA4A-F90F-4405-8257-C9A020019AF2}"/>
            </a:ext>
          </a:extLst>
        </xdr:cNvPr>
        <xdr:cNvGrpSpPr/>
      </xdr:nvGrpSpPr>
      <xdr:grpSpPr>
        <a:xfrm>
          <a:off x="13976350" y="6231468"/>
          <a:ext cx="3115734" cy="842432"/>
          <a:chOff x="13819554" y="6507937"/>
          <a:chExt cx="2757855" cy="886394"/>
        </a:xfrm>
      </xdr:grpSpPr>
      <xdr:grpSp>
        <xdr:nvGrpSpPr>
          <xdr:cNvPr id="73" name="Agrupar 72">
            <a:extLst>
              <a:ext uri="{FF2B5EF4-FFF2-40B4-BE49-F238E27FC236}">
                <a16:creationId xmlns:a16="http://schemas.microsoft.com/office/drawing/2014/main" id="{5407C6AB-9F68-A438-7CE1-5C1C472D1FB3}"/>
              </a:ext>
            </a:extLst>
          </xdr:cNvPr>
          <xdr:cNvGrpSpPr/>
        </xdr:nvGrpSpPr>
        <xdr:grpSpPr>
          <a:xfrm>
            <a:off x="13819554" y="6653822"/>
            <a:ext cx="1340442" cy="740509"/>
            <a:chOff x="13819554" y="6653822"/>
            <a:chExt cx="1340442" cy="740509"/>
          </a:xfrm>
        </xdr:grpSpPr>
        <xdr:cxnSp macro="">
          <xdr:nvCxnSpPr>
            <xdr:cNvPr id="77" name="Conector Reto 140">
              <a:extLst>
                <a:ext uri="{FF2B5EF4-FFF2-40B4-BE49-F238E27FC236}">
                  <a16:creationId xmlns:a16="http://schemas.microsoft.com/office/drawing/2014/main" id="{EEB0E636-C379-E513-D9D5-CAECB4BE820A}"/>
                </a:ext>
              </a:extLst>
            </xdr:cNvPr>
            <xdr:cNvCxnSpPr/>
          </xdr:nvCxnSpPr>
          <xdr:spPr>
            <a:xfrm flipV="1">
              <a:off x="13819554" y="6946510"/>
              <a:ext cx="1027328" cy="447821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78" name="Oval 141">
              <a:extLst>
                <a:ext uri="{FF2B5EF4-FFF2-40B4-BE49-F238E27FC236}">
                  <a16:creationId xmlns:a16="http://schemas.microsoft.com/office/drawing/2014/main" id="{5B552E38-E3C5-9712-6BE8-8A591866AB48}"/>
                </a:ext>
              </a:extLst>
            </xdr:cNvPr>
            <xdr:cNvSpPr>
              <a:spLocks/>
            </xdr:cNvSpPr>
          </xdr:nvSpPr>
          <xdr:spPr>
            <a:xfrm>
              <a:off x="14737426" y="6653822"/>
              <a:ext cx="422570" cy="46327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7">
        <xdr:nvSpPr>
          <xdr:cNvPr id="74" name="CaixaDeTexto 73">
            <a:extLst>
              <a:ext uri="{FF2B5EF4-FFF2-40B4-BE49-F238E27FC236}">
                <a16:creationId xmlns:a16="http://schemas.microsoft.com/office/drawing/2014/main" id="{CFFEDE50-046F-B083-52A6-026D9EFEB705}"/>
              </a:ext>
            </a:extLst>
          </xdr:cNvPr>
          <xdr:cNvSpPr txBox="1"/>
        </xdr:nvSpPr>
        <xdr:spPr>
          <a:xfrm>
            <a:off x="14669828" y="6733562"/>
            <a:ext cx="576385" cy="3194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B01AC4DC-215B-DC42-9D9E-DDD92AD188E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ctr"/>
              <a:t>0%</a:t>
            </a:fld>
            <a:endParaRPr lang="pt-BR" sz="7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Personalização!F8">
        <xdr:nvSpPr>
          <xdr:cNvPr id="75" name="CaixaDeTexto 74">
            <a:extLst>
              <a:ext uri="{FF2B5EF4-FFF2-40B4-BE49-F238E27FC236}">
                <a16:creationId xmlns:a16="http://schemas.microsoft.com/office/drawing/2014/main" id="{2D146AAC-D6FD-5BF9-052A-249E8F3F62D6}"/>
              </a:ext>
            </a:extLst>
          </xdr:cNvPr>
          <xdr:cNvSpPr txBox="1"/>
        </xdr:nvSpPr>
        <xdr:spPr>
          <a:xfrm>
            <a:off x="15150123" y="6507937"/>
            <a:ext cx="1173285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34558E48-7CD5-714A-B5DF-30E5B8B6E9A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CDB</a:t>
            </a:fld>
            <a:endParaRPr lang="pt-BR" sz="9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  <xdr:sp macro="" textlink="Tabelas!K27">
        <xdr:nvSpPr>
          <xdr:cNvPr id="76" name="CaixaDeTexto 75">
            <a:extLst>
              <a:ext uri="{FF2B5EF4-FFF2-40B4-BE49-F238E27FC236}">
                <a16:creationId xmlns:a16="http://schemas.microsoft.com/office/drawing/2014/main" id="{74F1CDEC-02F3-74AC-A7AD-9E4B4E5D5D0D}"/>
              </a:ext>
            </a:extLst>
          </xdr:cNvPr>
          <xdr:cNvSpPr txBox="1"/>
        </xdr:nvSpPr>
        <xdr:spPr>
          <a:xfrm>
            <a:off x="15196690" y="6704624"/>
            <a:ext cx="1380719" cy="217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8DF04A-3551-AC46-8E6E-ED13A7F1B8F2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cs typeface="Calibri"/>
              </a:rPr>
              <a:pPr algn="l"/>
              <a:t> -   </a:t>
            </a:fld>
            <a:endParaRPr lang="pt-BR" sz="8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0</xdr:col>
      <xdr:colOff>539038</xdr:colOff>
      <xdr:row>43</xdr:row>
      <xdr:rowOff>78010</xdr:rowOff>
    </xdr:from>
    <xdr:to>
      <xdr:col>2</xdr:col>
      <xdr:colOff>749299</xdr:colOff>
      <xdr:row>45</xdr:row>
      <xdr:rowOff>52823</xdr:rowOff>
    </xdr:to>
    <xdr:sp macro="" textlink="Personalização!B13">
      <xdr:nvSpPr>
        <xdr:cNvPr id="79" name="CaixaDeTexto 78">
          <a:extLst>
            <a:ext uri="{FF2B5EF4-FFF2-40B4-BE49-F238E27FC236}">
              <a16:creationId xmlns:a16="http://schemas.microsoft.com/office/drawing/2014/main" id="{132B3ED6-F8D1-4FB1-8091-C77C69212977}"/>
            </a:ext>
          </a:extLst>
        </xdr:cNvPr>
        <xdr:cNvSpPr txBox="1"/>
      </xdr:nvSpPr>
      <xdr:spPr>
        <a:xfrm>
          <a:off x="542213" y="8298085"/>
          <a:ext cx="1867611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C02FBB5-2332-524C-8687-67A819FD68B6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Seguro Carro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45</xdr:row>
      <xdr:rowOff>74839</xdr:rowOff>
    </xdr:from>
    <xdr:to>
      <xdr:col>2</xdr:col>
      <xdr:colOff>105575</xdr:colOff>
      <xdr:row>47</xdr:row>
      <xdr:rowOff>49652</xdr:rowOff>
    </xdr:to>
    <xdr:sp macro="" textlink="Personalização!B14">
      <xdr:nvSpPr>
        <xdr:cNvPr id="80" name="CaixaDeTexto 79">
          <a:extLst>
            <a:ext uri="{FF2B5EF4-FFF2-40B4-BE49-F238E27FC236}">
              <a16:creationId xmlns:a16="http://schemas.microsoft.com/office/drawing/2014/main" id="{F1B29561-25D3-4BDD-9F40-6777D3E00DA5}"/>
            </a:ext>
          </a:extLst>
        </xdr:cNvPr>
        <xdr:cNvSpPr txBox="1"/>
      </xdr:nvSpPr>
      <xdr:spPr>
        <a:xfrm>
          <a:off x="542214" y="8618764"/>
          <a:ext cx="1217536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2099233-9A9E-5A47-B17D-E50448AF20A0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Parcela Imóvel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47</xdr:row>
      <xdr:rowOff>79969</xdr:rowOff>
    </xdr:from>
    <xdr:to>
      <xdr:col>2</xdr:col>
      <xdr:colOff>105575</xdr:colOff>
      <xdr:row>49</xdr:row>
      <xdr:rowOff>54782</xdr:rowOff>
    </xdr:to>
    <xdr:sp macro="" textlink="Personalização!B15">
      <xdr:nvSpPr>
        <xdr:cNvPr id="81" name="CaixaDeTexto 80">
          <a:extLst>
            <a:ext uri="{FF2B5EF4-FFF2-40B4-BE49-F238E27FC236}">
              <a16:creationId xmlns:a16="http://schemas.microsoft.com/office/drawing/2014/main" id="{F638A7A3-84B2-4334-B82D-86AECCDB9D81}"/>
            </a:ext>
          </a:extLst>
        </xdr:cNvPr>
        <xdr:cNvSpPr txBox="1"/>
      </xdr:nvSpPr>
      <xdr:spPr>
        <a:xfrm>
          <a:off x="542214" y="8950919"/>
          <a:ext cx="1217536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F349DC4-27C3-F646-9BCB-420EDD2F0CF9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Faculdade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539039</xdr:colOff>
      <xdr:row>49</xdr:row>
      <xdr:rowOff>76795</xdr:rowOff>
    </xdr:from>
    <xdr:to>
      <xdr:col>2</xdr:col>
      <xdr:colOff>105575</xdr:colOff>
      <xdr:row>51</xdr:row>
      <xdr:rowOff>51608</xdr:rowOff>
    </xdr:to>
    <xdr:sp macro="" textlink="Personalização!B16">
      <xdr:nvSpPr>
        <xdr:cNvPr id="82" name="CaixaDeTexto 81">
          <a:extLst>
            <a:ext uri="{FF2B5EF4-FFF2-40B4-BE49-F238E27FC236}">
              <a16:creationId xmlns:a16="http://schemas.microsoft.com/office/drawing/2014/main" id="{7E9B2592-FEA5-4ED1-9168-F5283F62D1E2}"/>
            </a:ext>
          </a:extLst>
        </xdr:cNvPr>
        <xdr:cNvSpPr txBox="1"/>
      </xdr:nvSpPr>
      <xdr:spPr>
        <a:xfrm>
          <a:off x="542214" y="9268420"/>
          <a:ext cx="1217536" cy="2954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0C4C8423-00BD-FE47-95D9-44257BD54731}" type="TxLink">
            <a:rPr lang="en-US" sz="1200" b="0" i="0" u="none" strike="noStrike">
              <a:solidFill>
                <a:schemeClr val="bg1"/>
              </a:solidFill>
              <a:latin typeface="Calibri" panose="020F0502020204030204" pitchFamily="34" charset="0"/>
              <a:ea typeface="Calibri"/>
              <a:cs typeface="Calibri" panose="020F0502020204030204" pitchFamily="34" charset="0"/>
            </a:rPr>
            <a:pPr algn="l"/>
            <a:t>Despesa 10</a:t>
          </a:fld>
          <a:endParaRPr lang="pt-BR" sz="1050" b="0">
            <a:solidFill>
              <a:schemeClr val="bg1"/>
            </a:solidFill>
            <a:latin typeface="Calibri" panose="020F0502020204030204" pitchFamily="34" charset="0"/>
            <a:ea typeface="Avenir Book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366516</xdr:colOff>
      <xdr:row>43</xdr:row>
      <xdr:rowOff>109109</xdr:rowOff>
    </xdr:from>
    <xdr:to>
      <xdr:col>0</xdr:col>
      <xdr:colOff>619391</xdr:colOff>
      <xdr:row>45</xdr:row>
      <xdr:rowOff>28674</xdr:rowOff>
    </xdr:to>
    <xdr:sp macro="" textlink="">
      <xdr:nvSpPr>
        <xdr:cNvPr id="83" name="CaixaDeTexto 82">
          <a:extLst>
            <a:ext uri="{FF2B5EF4-FFF2-40B4-BE49-F238E27FC236}">
              <a16:creationId xmlns:a16="http://schemas.microsoft.com/office/drawing/2014/main" id="{51BFB0DA-7BA9-4D90-89E1-8D2A04ED31FB}"/>
            </a:ext>
          </a:extLst>
        </xdr:cNvPr>
        <xdr:cNvSpPr txBox="1"/>
      </xdr:nvSpPr>
      <xdr:spPr>
        <a:xfrm>
          <a:off x="369691" y="8326009"/>
          <a:ext cx="246525" cy="2434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45</xdr:row>
      <xdr:rowOff>112069</xdr:rowOff>
    </xdr:from>
    <xdr:to>
      <xdr:col>0</xdr:col>
      <xdr:colOff>619391</xdr:colOff>
      <xdr:row>47</xdr:row>
      <xdr:rowOff>29144</xdr:rowOff>
    </xdr:to>
    <xdr:sp macro="" textlink="">
      <xdr:nvSpPr>
        <xdr:cNvPr id="84" name="CaixaDeTexto 83">
          <a:extLst>
            <a:ext uri="{FF2B5EF4-FFF2-40B4-BE49-F238E27FC236}">
              <a16:creationId xmlns:a16="http://schemas.microsoft.com/office/drawing/2014/main" id="{EBC2C42A-ED7C-44AF-AF27-82F94183A3E2}"/>
            </a:ext>
          </a:extLst>
        </xdr:cNvPr>
        <xdr:cNvSpPr txBox="1"/>
      </xdr:nvSpPr>
      <xdr:spPr>
        <a:xfrm>
          <a:off x="369691" y="8655994"/>
          <a:ext cx="246525" cy="237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47</xdr:row>
      <xdr:rowOff>112539</xdr:rowOff>
    </xdr:from>
    <xdr:to>
      <xdr:col>0</xdr:col>
      <xdr:colOff>619391</xdr:colOff>
      <xdr:row>49</xdr:row>
      <xdr:rowOff>32104</xdr:rowOff>
    </xdr:to>
    <xdr:sp macro="" textlink="">
      <xdr:nvSpPr>
        <xdr:cNvPr id="85" name="CaixaDeTexto 84">
          <a:extLst>
            <a:ext uri="{FF2B5EF4-FFF2-40B4-BE49-F238E27FC236}">
              <a16:creationId xmlns:a16="http://schemas.microsoft.com/office/drawing/2014/main" id="{23774CF7-9F3C-4134-A6AB-85FAAE520489}"/>
            </a:ext>
          </a:extLst>
        </xdr:cNvPr>
        <xdr:cNvSpPr txBox="1"/>
      </xdr:nvSpPr>
      <xdr:spPr>
        <a:xfrm>
          <a:off x="369691" y="8980314"/>
          <a:ext cx="246525" cy="2402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366516</xdr:colOff>
      <xdr:row>49</xdr:row>
      <xdr:rowOff>115500</xdr:rowOff>
    </xdr:from>
    <xdr:to>
      <xdr:col>0</xdr:col>
      <xdr:colOff>619391</xdr:colOff>
      <xdr:row>51</xdr:row>
      <xdr:rowOff>32575</xdr:rowOff>
    </xdr:to>
    <xdr:sp macro="" textlink="">
      <xdr:nvSpPr>
        <xdr:cNvPr id="86" name="CaixaDeTexto 85">
          <a:extLst>
            <a:ext uri="{FF2B5EF4-FFF2-40B4-BE49-F238E27FC236}">
              <a16:creationId xmlns:a16="http://schemas.microsoft.com/office/drawing/2014/main" id="{BFAFF581-D6F6-40E6-9E9C-24D111B4A258}"/>
            </a:ext>
          </a:extLst>
        </xdr:cNvPr>
        <xdr:cNvSpPr txBox="1"/>
      </xdr:nvSpPr>
      <xdr:spPr>
        <a:xfrm>
          <a:off x="369691" y="9307125"/>
          <a:ext cx="246525" cy="237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600">
              <a:solidFill>
                <a:srgbClr val="EA375D"/>
              </a:solidFill>
              <a:latin typeface="Avenir Book" panose="02000503020000020003" pitchFamily="2" charset="0"/>
            </a:rPr>
            <a:t>•</a:t>
          </a:r>
        </a:p>
      </xdr:txBody>
    </xdr:sp>
    <xdr:clientData/>
  </xdr:twoCellAnchor>
  <xdr:twoCellAnchor>
    <xdr:from>
      <xdr:col>0</xdr:col>
      <xdr:colOff>0</xdr:colOff>
      <xdr:row>23</xdr:row>
      <xdr:rowOff>25400</xdr:rowOff>
    </xdr:from>
    <xdr:to>
      <xdr:col>5</xdr:col>
      <xdr:colOff>304800</xdr:colOff>
      <xdr:row>60</xdr:row>
      <xdr:rowOff>165100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CB574C1B-2397-4C86-91C2-53E4DD555E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163833</xdr:colOff>
      <xdr:row>20</xdr:row>
      <xdr:rowOff>102869</xdr:rowOff>
    </xdr:from>
    <xdr:to>
      <xdr:col>0</xdr:col>
      <xdr:colOff>544790</xdr:colOff>
      <xdr:row>27</xdr:row>
      <xdr:rowOff>125691</xdr:rowOff>
    </xdr:to>
    <xdr:sp macro="" textlink="">
      <xdr:nvSpPr>
        <xdr:cNvPr id="88" name="CaixaDeTexto 87">
          <a:extLst>
            <a:ext uri="{FF2B5EF4-FFF2-40B4-BE49-F238E27FC236}">
              <a16:creationId xmlns:a16="http://schemas.microsoft.com/office/drawing/2014/main" id="{80719628-6101-4349-9266-70D7D78D9930}"/>
            </a:ext>
          </a:extLst>
        </xdr:cNvPr>
        <xdr:cNvSpPr txBox="1"/>
      </xdr:nvSpPr>
      <xdr:spPr>
        <a:xfrm rot="16200000">
          <a:off x="-357187" y="4624389"/>
          <a:ext cx="1416647" cy="380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Despesa Variável</a:t>
          </a:r>
        </a:p>
      </xdr:txBody>
    </xdr:sp>
    <xdr:clientData/>
  </xdr:twoCellAnchor>
  <xdr:twoCellAnchor>
    <xdr:from>
      <xdr:col>14</xdr:col>
      <xdr:colOff>433707</xdr:colOff>
      <xdr:row>10</xdr:row>
      <xdr:rowOff>179488</xdr:rowOff>
    </xdr:from>
    <xdr:to>
      <xdr:col>15</xdr:col>
      <xdr:colOff>178193</xdr:colOff>
      <xdr:row>12</xdr:row>
      <xdr:rowOff>166876</xdr:rowOff>
    </xdr:to>
    <xdr:sp macro="" textlink="Tabelas!D27">
      <xdr:nvSpPr>
        <xdr:cNvPr id="93" name="CaixaDeTexto 92">
          <a:extLst>
            <a:ext uri="{FF2B5EF4-FFF2-40B4-BE49-F238E27FC236}">
              <a16:creationId xmlns:a16="http://schemas.microsoft.com/office/drawing/2014/main" id="{6D0F23CF-8131-488C-A90A-F8251C7FA3DE}"/>
            </a:ext>
          </a:extLst>
        </xdr:cNvPr>
        <xdr:cNvSpPr txBox="1"/>
      </xdr:nvSpPr>
      <xdr:spPr>
        <a:xfrm>
          <a:off x="13057507" y="2084488"/>
          <a:ext cx="646186" cy="36838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9B2F932-9275-3743-AB9C-5194FB1270EB}" type="TxLink">
            <a:rPr lang="en-US" sz="11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0%</a:t>
          </a:fld>
          <a:endParaRPr lang="pt-BR" sz="10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13</xdr:col>
      <xdr:colOff>269747</xdr:colOff>
      <xdr:row>27</xdr:row>
      <xdr:rowOff>183171</xdr:rowOff>
    </xdr:from>
    <xdr:to>
      <xdr:col>15</xdr:col>
      <xdr:colOff>121770</xdr:colOff>
      <xdr:row>37</xdr:row>
      <xdr:rowOff>121973</xdr:rowOff>
    </xdr:to>
    <xdr:grpSp>
      <xdr:nvGrpSpPr>
        <xdr:cNvPr id="164" name="Investimento4">
          <a:extLst>
            <a:ext uri="{FF2B5EF4-FFF2-40B4-BE49-F238E27FC236}">
              <a16:creationId xmlns:a16="http://schemas.microsoft.com/office/drawing/2014/main" id="{556E1714-3767-4584-822F-AD492E2BFA81}"/>
            </a:ext>
          </a:extLst>
        </xdr:cNvPr>
        <xdr:cNvGrpSpPr/>
      </xdr:nvGrpSpPr>
      <xdr:grpSpPr>
        <a:xfrm>
          <a:off x="11964330" y="5326671"/>
          <a:ext cx="1651190" cy="1716802"/>
          <a:chOff x="10974349" y="5984679"/>
          <a:chExt cx="1498313" cy="1891559"/>
        </a:xfrm>
      </xdr:grpSpPr>
      <xdr:grpSp>
        <xdr:nvGrpSpPr>
          <xdr:cNvPr id="165" name="Agrupar 164">
            <a:extLst>
              <a:ext uri="{FF2B5EF4-FFF2-40B4-BE49-F238E27FC236}">
                <a16:creationId xmlns:a16="http://schemas.microsoft.com/office/drawing/2014/main" id="{64EFE01E-C7EF-67E5-4D7C-ACE947D290B6}"/>
              </a:ext>
            </a:extLst>
          </xdr:cNvPr>
          <xdr:cNvGrpSpPr/>
        </xdr:nvGrpSpPr>
        <xdr:grpSpPr>
          <a:xfrm>
            <a:off x="11621536" y="6515753"/>
            <a:ext cx="851126" cy="1360485"/>
            <a:chOff x="11612668" y="6455958"/>
            <a:chExt cx="850394" cy="1348963"/>
          </a:xfrm>
        </xdr:grpSpPr>
        <xdr:cxnSp macro="">
          <xdr:nvCxnSpPr>
            <xdr:cNvPr id="169" name="Conector Reto 153">
              <a:extLst>
                <a:ext uri="{FF2B5EF4-FFF2-40B4-BE49-F238E27FC236}">
                  <a16:creationId xmlns:a16="http://schemas.microsoft.com/office/drawing/2014/main" id="{9751FAD2-EC59-D287-1FA0-B16F8C4FFB9D}"/>
                </a:ext>
              </a:extLst>
            </xdr:cNvPr>
            <xdr:cNvCxnSpPr>
              <a:stCxn id="263" idx="1"/>
            </xdr:cNvCxnSpPr>
          </xdr:nvCxnSpPr>
          <xdr:spPr>
            <a:xfrm flipH="1" flipV="1">
              <a:off x="11886383" y="6820796"/>
              <a:ext cx="576679" cy="984125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0" name="Oval 154">
              <a:extLst>
                <a:ext uri="{FF2B5EF4-FFF2-40B4-BE49-F238E27FC236}">
                  <a16:creationId xmlns:a16="http://schemas.microsoft.com/office/drawing/2014/main" id="{24D84038-8D51-C7A9-4160-43DF71EDF090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12668" y="6455958"/>
              <a:ext cx="430276" cy="48387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9">
        <xdr:nvSpPr>
          <xdr:cNvPr id="166" name="CaixaDeTexto 165">
            <a:extLst>
              <a:ext uri="{FF2B5EF4-FFF2-40B4-BE49-F238E27FC236}">
                <a16:creationId xmlns:a16="http://schemas.microsoft.com/office/drawing/2014/main" id="{4662718F-F358-1CF6-F4F1-2FA99167C03C}"/>
              </a:ext>
            </a:extLst>
          </xdr:cNvPr>
          <xdr:cNvSpPr txBox="1"/>
        </xdr:nvSpPr>
        <xdr:spPr>
          <a:xfrm>
            <a:off x="11559595" y="6542064"/>
            <a:ext cx="571500" cy="3956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C5DBDEB-2E62-9440-A9D2-04049560C7E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F10">
        <xdr:nvSpPr>
          <xdr:cNvPr id="167" name="CaixaDeTexto 166">
            <a:extLst>
              <a:ext uri="{FF2B5EF4-FFF2-40B4-BE49-F238E27FC236}">
                <a16:creationId xmlns:a16="http://schemas.microsoft.com/office/drawing/2014/main" id="{E36124B1-23CD-239F-A4D1-542FBCF870F7}"/>
              </a:ext>
            </a:extLst>
          </xdr:cNvPr>
          <xdr:cNvSpPr txBox="1"/>
        </xdr:nvSpPr>
        <xdr:spPr>
          <a:xfrm>
            <a:off x="11114231" y="5984679"/>
            <a:ext cx="1178169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61BE5910-7D31-7A46-8679-8DE103CA8288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Ações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K29">
        <xdr:nvSpPr>
          <xdr:cNvPr id="168" name="CaixaDeTexto 167">
            <a:extLst>
              <a:ext uri="{FF2B5EF4-FFF2-40B4-BE49-F238E27FC236}">
                <a16:creationId xmlns:a16="http://schemas.microsoft.com/office/drawing/2014/main" id="{CF3FEAD8-FBF9-0C04-8D28-18CBF668953D}"/>
              </a:ext>
            </a:extLst>
          </xdr:cNvPr>
          <xdr:cNvSpPr txBox="1"/>
        </xdr:nvSpPr>
        <xdr:spPr>
          <a:xfrm>
            <a:off x="10974349" y="6151521"/>
            <a:ext cx="1381369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8D71BF4C-A0BF-F042-9342-005516365D97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12</xdr:col>
      <xdr:colOff>463936</xdr:colOff>
      <xdr:row>40</xdr:row>
      <xdr:rowOff>25397</xdr:rowOff>
    </xdr:from>
    <xdr:to>
      <xdr:col>15</xdr:col>
      <xdr:colOff>114309</xdr:colOff>
      <xdr:row>47</xdr:row>
      <xdr:rowOff>21990</xdr:rowOff>
    </xdr:to>
    <xdr:grpSp>
      <xdr:nvGrpSpPr>
        <xdr:cNvPr id="171" name="Investimento5">
          <a:extLst>
            <a:ext uri="{FF2B5EF4-FFF2-40B4-BE49-F238E27FC236}">
              <a16:creationId xmlns:a16="http://schemas.microsoft.com/office/drawing/2014/main" id="{C20E93EE-50A7-4BE4-96F7-3C255BB0B7FD}"/>
            </a:ext>
          </a:extLst>
        </xdr:cNvPr>
        <xdr:cNvGrpSpPr/>
      </xdr:nvGrpSpPr>
      <xdr:grpSpPr>
        <a:xfrm>
          <a:off x="11258936" y="7391397"/>
          <a:ext cx="2349123" cy="1150176"/>
          <a:chOff x="11103708" y="7566276"/>
          <a:chExt cx="2125972" cy="1241989"/>
        </a:xfrm>
      </xdr:grpSpPr>
      <xdr:grpSp>
        <xdr:nvGrpSpPr>
          <xdr:cNvPr id="172" name="Agrupar 171">
            <a:extLst>
              <a:ext uri="{FF2B5EF4-FFF2-40B4-BE49-F238E27FC236}">
                <a16:creationId xmlns:a16="http://schemas.microsoft.com/office/drawing/2014/main" id="{F206DA6C-DB46-A856-74FE-32420CF3AE8E}"/>
              </a:ext>
            </a:extLst>
          </xdr:cNvPr>
          <xdr:cNvGrpSpPr/>
        </xdr:nvGrpSpPr>
        <xdr:grpSpPr>
          <a:xfrm>
            <a:off x="12451182" y="7566276"/>
            <a:ext cx="778498" cy="903170"/>
            <a:chOff x="12377945" y="7424941"/>
            <a:chExt cx="774478" cy="889807"/>
          </a:xfrm>
        </xdr:grpSpPr>
        <xdr:cxnSp macro="">
          <xdr:nvCxnSpPr>
            <xdr:cNvPr id="176" name="Conector Reto 161">
              <a:extLst>
                <a:ext uri="{FF2B5EF4-FFF2-40B4-BE49-F238E27FC236}">
                  <a16:creationId xmlns:a16="http://schemas.microsoft.com/office/drawing/2014/main" id="{35D2E2F0-C8D0-608B-4EE7-C0A71ABF1A00}"/>
                </a:ext>
              </a:extLst>
            </xdr:cNvPr>
            <xdr:cNvCxnSpPr/>
          </xdr:nvCxnSpPr>
          <xdr:spPr>
            <a:xfrm flipH="1">
              <a:off x="12684881" y="7424941"/>
              <a:ext cx="467542" cy="579905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77" name="Oval 162">
              <a:extLst>
                <a:ext uri="{FF2B5EF4-FFF2-40B4-BE49-F238E27FC236}">
                  <a16:creationId xmlns:a16="http://schemas.microsoft.com/office/drawing/2014/main" id="{04F6288D-D3F5-6EE8-D866-28FE9E131F6A}"/>
                </a:ext>
              </a:extLst>
            </xdr:cNvPr>
            <xdr:cNvSpPr>
              <a:spLocks/>
            </xdr:cNvSpPr>
          </xdr:nvSpPr>
          <xdr:spPr>
            <a:xfrm rot="14451795">
              <a:off x="12359731" y="7866947"/>
              <a:ext cx="466015" cy="429587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30">
        <xdr:nvSpPr>
          <xdr:cNvPr id="173" name="CaixaDeTexto 172">
            <a:extLst>
              <a:ext uri="{FF2B5EF4-FFF2-40B4-BE49-F238E27FC236}">
                <a16:creationId xmlns:a16="http://schemas.microsoft.com/office/drawing/2014/main" id="{F317AC6B-3E8C-EB6F-0CD3-1542C7F93CF7}"/>
              </a:ext>
            </a:extLst>
          </xdr:cNvPr>
          <xdr:cNvSpPr txBox="1"/>
        </xdr:nvSpPr>
        <xdr:spPr>
          <a:xfrm>
            <a:off x="12364465" y="8047154"/>
            <a:ext cx="576384" cy="3976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B947DBA-9CFC-C248-9F8C-416B00A916C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F11">
        <xdr:nvSpPr>
          <xdr:cNvPr id="174" name="CaixaDeTexto 173">
            <a:extLst>
              <a:ext uri="{FF2B5EF4-FFF2-40B4-BE49-F238E27FC236}">
                <a16:creationId xmlns:a16="http://schemas.microsoft.com/office/drawing/2014/main" id="{3324176D-DAF1-0988-224D-6FD1E39D9BB4}"/>
              </a:ext>
            </a:extLst>
          </xdr:cNvPr>
          <xdr:cNvSpPr txBox="1"/>
        </xdr:nvSpPr>
        <xdr:spPr>
          <a:xfrm>
            <a:off x="11277275" y="8355624"/>
            <a:ext cx="1177518" cy="230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2AC1A72-BDEC-974A-A643-DA834A61FEA7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r"/>
              <a:t>Fundos Imobiliários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K30">
        <xdr:nvSpPr>
          <xdr:cNvPr id="175" name="CaixaDeTexto 174">
            <a:extLst>
              <a:ext uri="{FF2B5EF4-FFF2-40B4-BE49-F238E27FC236}">
                <a16:creationId xmlns:a16="http://schemas.microsoft.com/office/drawing/2014/main" id="{CC6EB161-2727-A655-3FBA-C10672A92D49}"/>
              </a:ext>
            </a:extLst>
          </xdr:cNvPr>
          <xdr:cNvSpPr txBox="1"/>
        </xdr:nvSpPr>
        <xdr:spPr>
          <a:xfrm>
            <a:off x="11103708" y="8514212"/>
            <a:ext cx="1381369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67EA9D-501E-2540-8288-475FA83EBA10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15</xdr:col>
      <xdr:colOff>482604</xdr:colOff>
      <xdr:row>39</xdr:row>
      <xdr:rowOff>122769</xdr:rowOff>
    </xdr:from>
    <xdr:to>
      <xdr:col>18</xdr:col>
      <xdr:colOff>560103</xdr:colOff>
      <xdr:row>43</xdr:row>
      <xdr:rowOff>86296</xdr:rowOff>
    </xdr:to>
    <xdr:grpSp>
      <xdr:nvGrpSpPr>
        <xdr:cNvPr id="178" name="Investimento3">
          <a:extLst>
            <a:ext uri="{FF2B5EF4-FFF2-40B4-BE49-F238E27FC236}">
              <a16:creationId xmlns:a16="http://schemas.microsoft.com/office/drawing/2014/main" id="{9FD0154A-5B81-4898-B142-F65ABEF75334}"/>
            </a:ext>
          </a:extLst>
        </xdr:cNvPr>
        <xdr:cNvGrpSpPr/>
      </xdr:nvGrpSpPr>
      <xdr:grpSpPr>
        <a:xfrm>
          <a:off x="13976354" y="7361769"/>
          <a:ext cx="2776249" cy="598527"/>
          <a:chOff x="13794158" y="7582553"/>
          <a:chExt cx="2568653" cy="627834"/>
        </a:xfrm>
      </xdr:grpSpPr>
      <xdr:grpSp>
        <xdr:nvGrpSpPr>
          <xdr:cNvPr id="179" name="Agrupar 178">
            <a:extLst>
              <a:ext uri="{FF2B5EF4-FFF2-40B4-BE49-F238E27FC236}">
                <a16:creationId xmlns:a16="http://schemas.microsoft.com/office/drawing/2014/main" id="{28D0E6D0-E4CB-E779-2FBF-740D29470265}"/>
              </a:ext>
            </a:extLst>
          </xdr:cNvPr>
          <xdr:cNvGrpSpPr/>
        </xdr:nvGrpSpPr>
        <xdr:grpSpPr>
          <a:xfrm>
            <a:off x="13794158" y="7582553"/>
            <a:ext cx="1110542" cy="609726"/>
            <a:chOff x="13783737" y="7514170"/>
            <a:chExt cx="1109892" cy="605561"/>
          </a:xfrm>
        </xdr:grpSpPr>
        <xdr:cxnSp macro="">
          <xdr:nvCxnSpPr>
            <xdr:cNvPr id="183" name="Conector Reto 142">
              <a:extLst>
                <a:ext uri="{FF2B5EF4-FFF2-40B4-BE49-F238E27FC236}">
                  <a16:creationId xmlns:a16="http://schemas.microsoft.com/office/drawing/2014/main" id="{85435398-2944-F5B7-730B-7E2B8BF35330}"/>
                </a:ext>
              </a:extLst>
            </xdr:cNvPr>
            <xdr:cNvCxnSpPr/>
          </xdr:nvCxnSpPr>
          <xdr:spPr>
            <a:xfrm>
              <a:off x="13783737" y="7514170"/>
              <a:ext cx="712524" cy="275813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84" name="Oval 147">
              <a:extLst>
                <a:ext uri="{FF2B5EF4-FFF2-40B4-BE49-F238E27FC236}">
                  <a16:creationId xmlns:a16="http://schemas.microsoft.com/office/drawing/2014/main" id="{2BF064AD-FC82-1F59-7BC3-0639B7916B4D}"/>
                </a:ext>
              </a:extLst>
            </xdr:cNvPr>
            <xdr:cNvSpPr>
              <a:spLocks noChangeAspect="1"/>
            </xdr:cNvSpPr>
          </xdr:nvSpPr>
          <xdr:spPr>
            <a:xfrm rot="5400000">
              <a:off x="14447438" y="7673539"/>
              <a:ext cx="458158" cy="43422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L28">
        <xdr:nvSpPr>
          <xdr:cNvPr id="180" name="CaixaDeTexto 179">
            <a:extLst>
              <a:ext uri="{FF2B5EF4-FFF2-40B4-BE49-F238E27FC236}">
                <a16:creationId xmlns:a16="http://schemas.microsoft.com/office/drawing/2014/main" id="{11437D1F-33A1-33D0-E850-5FE593721CE1}"/>
              </a:ext>
            </a:extLst>
          </xdr:cNvPr>
          <xdr:cNvSpPr txBox="1">
            <a:spLocks noChangeAspect="1"/>
          </xdr:cNvSpPr>
        </xdr:nvSpPr>
        <xdr:spPr>
          <a:xfrm>
            <a:off x="14412041" y="7770816"/>
            <a:ext cx="576385" cy="39760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50551E0-29DB-7B40-A40D-C50031467EC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F9">
        <xdr:nvSpPr>
          <xdr:cNvPr id="181" name="CaixaDeTexto 180">
            <a:extLst>
              <a:ext uri="{FF2B5EF4-FFF2-40B4-BE49-F238E27FC236}">
                <a16:creationId xmlns:a16="http://schemas.microsoft.com/office/drawing/2014/main" id="{49159415-8C66-0423-AC68-361E0827789A}"/>
              </a:ext>
            </a:extLst>
          </xdr:cNvPr>
          <xdr:cNvSpPr txBox="1"/>
        </xdr:nvSpPr>
        <xdr:spPr>
          <a:xfrm>
            <a:off x="14951808" y="7755793"/>
            <a:ext cx="1178169" cy="23250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9C0D5FA-7CB2-4244-B150-48A23F093E00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l"/>
              <a:t>Tesouro SELIC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K28">
        <xdr:nvSpPr>
          <xdr:cNvPr id="182" name="CaixaDeTexto 181">
            <a:extLst>
              <a:ext uri="{FF2B5EF4-FFF2-40B4-BE49-F238E27FC236}">
                <a16:creationId xmlns:a16="http://schemas.microsoft.com/office/drawing/2014/main" id="{82C5B475-1396-F493-F1BB-F00FA7EF5DA0}"/>
              </a:ext>
            </a:extLst>
          </xdr:cNvPr>
          <xdr:cNvSpPr txBox="1"/>
        </xdr:nvSpPr>
        <xdr:spPr>
          <a:xfrm>
            <a:off x="14981442" y="7916334"/>
            <a:ext cx="1381369" cy="2940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E19D847B-7732-F846-BC19-89C420083CFC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l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4</xdr:col>
      <xdr:colOff>189313</xdr:colOff>
      <xdr:row>3</xdr:row>
      <xdr:rowOff>73102</xdr:rowOff>
    </xdr:from>
    <xdr:to>
      <xdr:col>6</xdr:col>
      <xdr:colOff>566208</xdr:colOff>
      <xdr:row>12</xdr:row>
      <xdr:rowOff>121709</xdr:rowOff>
    </xdr:to>
    <xdr:grpSp>
      <xdr:nvGrpSpPr>
        <xdr:cNvPr id="185" name="gDespFixa8">
          <a:extLst>
            <a:ext uri="{FF2B5EF4-FFF2-40B4-BE49-F238E27FC236}">
              <a16:creationId xmlns:a16="http://schemas.microsoft.com/office/drawing/2014/main" id="{D65A39D4-D85F-4E7B-ACD1-B6CA232445D7}"/>
            </a:ext>
          </a:extLst>
        </xdr:cNvPr>
        <xdr:cNvGrpSpPr/>
      </xdr:nvGrpSpPr>
      <xdr:grpSpPr>
        <a:xfrm>
          <a:off x="3787646" y="644602"/>
          <a:ext cx="2176062" cy="1763107"/>
          <a:chOff x="3377013" y="682701"/>
          <a:chExt cx="2098093" cy="1925030"/>
        </a:xfrm>
      </xdr:grpSpPr>
      <xdr:grpSp>
        <xdr:nvGrpSpPr>
          <xdr:cNvPr id="186" name="Agrupar 185">
            <a:extLst>
              <a:ext uri="{FF2B5EF4-FFF2-40B4-BE49-F238E27FC236}">
                <a16:creationId xmlns:a16="http://schemas.microsoft.com/office/drawing/2014/main" id="{37115B44-4451-EA3F-1FB9-649A79230ACD}"/>
              </a:ext>
            </a:extLst>
          </xdr:cNvPr>
          <xdr:cNvGrpSpPr/>
        </xdr:nvGrpSpPr>
        <xdr:grpSpPr>
          <a:xfrm>
            <a:off x="4028043" y="1189080"/>
            <a:ext cx="1447063" cy="1418651"/>
            <a:chOff x="11613655" y="6455582"/>
            <a:chExt cx="1439482" cy="1474173"/>
          </a:xfrm>
        </xdr:grpSpPr>
        <xdr:cxnSp macro="">
          <xdr:nvCxnSpPr>
            <xdr:cNvPr id="190" name="Conector Reto 201">
              <a:extLst>
                <a:ext uri="{FF2B5EF4-FFF2-40B4-BE49-F238E27FC236}">
                  <a16:creationId xmlns:a16="http://schemas.microsoft.com/office/drawing/2014/main" id="{9040E410-8B0C-F59C-DB94-49B23A76C009}"/>
                </a:ext>
              </a:extLst>
            </xdr:cNvPr>
            <xdr:cNvCxnSpPr/>
          </xdr:nvCxnSpPr>
          <xdr:spPr>
            <a:xfrm flipH="1" flipV="1">
              <a:off x="11886383" y="6820796"/>
              <a:ext cx="1166754" cy="1108959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1" name="Oval 202">
              <a:extLst>
                <a:ext uri="{FF2B5EF4-FFF2-40B4-BE49-F238E27FC236}">
                  <a16:creationId xmlns:a16="http://schemas.microsoft.com/office/drawing/2014/main" id="{F7249088-80A3-5195-F077-163ECD806EDC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13655" y="6455582"/>
              <a:ext cx="429737" cy="49013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3">
        <xdr:nvSpPr>
          <xdr:cNvPr id="187" name="CaixaDeTexto 186">
            <a:extLst>
              <a:ext uri="{FF2B5EF4-FFF2-40B4-BE49-F238E27FC236}">
                <a16:creationId xmlns:a16="http://schemas.microsoft.com/office/drawing/2014/main" id="{B1045EC1-8513-7F8D-924F-1B55A1EE9FA1}"/>
              </a:ext>
            </a:extLst>
          </xdr:cNvPr>
          <xdr:cNvSpPr txBox="1"/>
        </xdr:nvSpPr>
        <xdr:spPr>
          <a:xfrm>
            <a:off x="3983020" y="1228637"/>
            <a:ext cx="574016" cy="3775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5285765-6D8B-6241-84FA-8F32458FB3C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B14">
        <xdr:nvSpPr>
          <xdr:cNvPr id="188" name="CaixaDeTexto 187">
            <a:extLst>
              <a:ext uri="{FF2B5EF4-FFF2-40B4-BE49-F238E27FC236}">
                <a16:creationId xmlns:a16="http://schemas.microsoft.com/office/drawing/2014/main" id="{ED2E7FCC-24DA-725D-6ED7-FCDA757FBEC4}"/>
              </a:ext>
            </a:extLst>
          </xdr:cNvPr>
          <xdr:cNvSpPr txBox="1"/>
        </xdr:nvSpPr>
        <xdr:spPr>
          <a:xfrm>
            <a:off x="3517511" y="682701"/>
            <a:ext cx="1183355" cy="21999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F89DB43-73FB-2742-B960-601BC758170D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Parcela Imóvel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O33">
        <xdr:nvSpPr>
          <xdr:cNvPr id="189" name="CaixaDeTexto 188">
            <a:extLst>
              <a:ext uri="{FF2B5EF4-FFF2-40B4-BE49-F238E27FC236}">
                <a16:creationId xmlns:a16="http://schemas.microsoft.com/office/drawing/2014/main" id="{703092A0-6E00-1E6F-FE73-6F9CA549CD71}"/>
              </a:ext>
            </a:extLst>
          </xdr:cNvPr>
          <xdr:cNvSpPr txBox="1"/>
        </xdr:nvSpPr>
        <xdr:spPr>
          <a:xfrm>
            <a:off x="3377013" y="841900"/>
            <a:ext cx="1387450" cy="28058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AB6779C1-6F8D-8D4A-A739-4B2D4D29618F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6</xdr:col>
      <xdr:colOff>484490</xdr:colOff>
      <xdr:row>2</xdr:row>
      <xdr:rowOff>102351</xdr:rowOff>
    </xdr:from>
    <xdr:to>
      <xdr:col>8</xdr:col>
      <xdr:colOff>219201</xdr:colOff>
      <xdr:row>12</xdr:row>
      <xdr:rowOff>7884</xdr:rowOff>
    </xdr:to>
    <xdr:grpSp>
      <xdr:nvGrpSpPr>
        <xdr:cNvPr id="192" name="gDespFixa10">
          <a:extLst>
            <a:ext uri="{FF2B5EF4-FFF2-40B4-BE49-F238E27FC236}">
              <a16:creationId xmlns:a16="http://schemas.microsoft.com/office/drawing/2014/main" id="{8ECC2638-D611-4F34-A4DF-0381796B1012}"/>
            </a:ext>
          </a:extLst>
        </xdr:cNvPr>
        <xdr:cNvGrpSpPr/>
      </xdr:nvGrpSpPr>
      <xdr:grpSpPr>
        <a:xfrm>
          <a:off x="5881990" y="483351"/>
          <a:ext cx="1533878" cy="1810533"/>
          <a:chOff x="5298944" y="449869"/>
          <a:chExt cx="1385711" cy="1925586"/>
        </a:xfrm>
      </xdr:grpSpPr>
      <xdr:grpSp>
        <xdr:nvGrpSpPr>
          <xdr:cNvPr id="193" name="Agrupar 192">
            <a:extLst>
              <a:ext uri="{FF2B5EF4-FFF2-40B4-BE49-F238E27FC236}">
                <a16:creationId xmlns:a16="http://schemas.microsoft.com/office/drawing/2014/main" id="{01CB47AF-8702-815B-6EE2-0672775A1FCE}"/>
              </a:ext>
            </a:extLst>
          </xdr:cNvPr>
          <xdr:cNvGrpSpPr/>
        </xdr:nvGrpSpPr>
        <xdr:grpSpPr>
          <a:xfrm rot="2612071">
            <a:off x="5510188" y="872513"/>
            <a:ext cx="630878" cy="1502942"/>
            <a:chOff x="11703230" y="6408844"/>
            <a:chExt cx="628358" cy="1561055"/>
          </a:xfrm>
        </xdr:grpSpPr>
        <xdr:cxnSp macro="">
          <xdr:nvCxnSpPr>
            <xdr:cNvPr id="197" name="Conector Reto 209">
              <a:extLst>
                <a:ext uri="{FF2B5EF4-FFF2-40B4-BE49-F238E27FC236}">
                  <a16:creationId xmlns:a16="http://schemas.microsoft.com/office/drawing/2014/main" id="{CCADE084-B63D-E277-2286-7884504824F9}"/>
                </a:ext>
              </a:extLst>
            </xdr:cNvPr>
            <xdr:cNvCxnSpPr>
              <a:stCxn id="280" idx="4"/>
            </xdr:cNvCxnSpPr>
          </xdr:nvCxnSpPr>
          <xdr:spPr>
            <a:xfrm rot="18987929" flipV="1">
              <a:off x="11993983" y="6782442"/>
              <a:ext cx="337605" cy="1187457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8" name="Oval 210">
              <a:extLst>
                <a:ext uri="{FF2B5EF4-FFF2-40B4-BE49-F238E27FC236}">
                  <a16:creationId xmlns:a16="http://schemas.microsoft.com/office/drawing/2014/main" id="{E625890F-F59E-7C44-7F37-205133FC6501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703230" y="6408844"/>
              <a:ext cx="430274" cy="491585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5">
        <xdr:nvSpPr>
          <xdr:cNvPr id="194" name="CaixaDeTexto 193">
            <a:extLst>
              <a:ext uri="{FF2B5EF4-FFF2-40B4-BE49-F238E27FC236}">
                <a16:creationId xmlns:a16="http://schemas.microsoft.com/office/drawing/2014/main" id="{FEFA10E1-ABD9-80C3-A0EA-F3FCDC4DE312}"/>
              </a:ext>
            </a:extLst>
          </xdr:cNvPr>
          <xdr:cNvSpPr txBox="1"/>
        </xdr:nvSpPr>
        <xdr:spPr>
          <a:xfrm>
            <a:off x="5796506" y="983005"/>
            <a:ext cx="573297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8CDC8E5-445F-6C4A-BB00-67F9296FD037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Personalização!B16">
        <xdr:nvSpPr>
          <xdr:cNvPr id="195" name="CaixaDeTexto 194">
            <a:extLst>
              <a:ext uri="{FF2B5EF4-FFF2-40B4-BE49-F238E27FC236}">
                <a16:creationId xmlns:a16="http://schemas.microsoft.com/office/drawing/2014/main" id="{46A1F3CA-9ECD-D630-FAC1-B9B965A0E7E3}"/>
              </a:ext>
            </a:extLst>
          </xdr:cNvPr>
          <xdr:cNvSpPr txBox="1"/>
        </xdr:nvSpPr>
        <xdr:spPr>
          <a:xfrm>
            <a:off x="5439266" y="449869"/>
            <a:ext cx="1181873" cy="22009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AD59D93-C8FE-8B4C-98E3-9012D24EEBA3}" type="TxLink">
              <a:rPr lang="en-US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Despesa 10</a:t>
            </a:fld>
            <a:endParaRPr lang="pt-BR" sz="9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sp macro="" textlink="Tabelas!O35">
        <xdr:nvSpPr>
          <xdr:cNvPr id="196" name="CaixaDeTexto 195">
            <a:extLst>
              <a:ext uri="{FF2B5EF4-FFF2-40B4-BE49-F238E27FC236}">
                <a16:creationId xmlns:a16="http://schemas.microsoft.com/office/drawing/2014/main" id="{EDEDFFC7-A5E5-5FE8-9ABC-E7BBD8BEDF6B}"/>
              </a:ext>
            </a:extLst>
          </xdr:cNvPr>
          <xdr:cNvSpPr txBox="1"/>
        </xdr:nvSpPr>
        <xdr:spPr>
          <a:xfrm>
            <a:off x="5298944" y="609139"/>
            <a:ext cx="1385711" cy="2807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131ED59-0834-F647-AF5D-81B0F18723F0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 -   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7</xdr:col>
      <xdr:colOff>206331</xdr:colOff>
      <xdr:row>2</xdr:row>
      <xdr:rowOff>56249</xdr:rowOff>
    </xdr:from>
    <xdr:to>
      <xdr:col>10</xdr:col>
      <xdr:colOff>62316</xdr:colOff>
      <xdr:row>13</xdr:row>
      <xdr:rowOff>29750</xdr:rowOff>
    </xdr:to>
    <xdr:grpSp>
      <xdr:nvGrpSpPr>
        <xdr:cNvPr id="199" name="gDespFixa6">
          <a:extLst>
            <a:ext uri="{FF2B5EF4-FFF2-40B4-BE49-F238E27FC236}">
              <a16:creationId xmlns:a16="http://schemas.microsoft.com/office/drawing/2014/main" id="{582BC28E-32D2-47CE-8BA3-F3DBF8D60C03}"/>
            </a:ext>
          </a:extLst>
        </xdr:cNvPr>
        <xdr:cNvGrpSpPr/>
      </xdr:nvGrpSpPr>
      <xdr:grpSpPr>
        <a:xfrm>
          <a:off x="6503414" y="437249"/>
          <a:ext cx="2554735" cy="2069001"/>
          <a:chOff x="6017315" y="449692"/>
          <a:chExt cx="2338096" cy="2200320"/>
        </a:xfrm>
      </xdr:grpSpPr>
      <xdr:grpSp>
        <xdr:nvGrpSpPr>
          <xdr:cNvPr id="200" name="Agrupar 199">
            <a:extLst>
              <a:ext uri="{FF2B5EF4-FFF2-40B4-BE49-F238E27FC236}">
                <a16:creationId xmlns:a16="http://schemas.microsoft.com/office/drawing/2014/main" id="{64C78B76-D4F9-E90F-CD4C-83EB92FBBFB5}"/>
              </a:ext>
            </a:extLst>
          </xdr:cNvPr>
          <xdr:cNvGrpSpPr/>
        </xdr:nvGrpSpPr>
        <xdr:grpSpPr>
          <a:xfrm>
            <a:off x="6969701" y="454102"/>
            <a:ext cx="1385710" cy="434334"/>
            <a:chOff x="16367700" y="5122058"/>
            <a:chExt cx="1399822" cy="423045"/>
          </a:xfrm>
        </xdr:grpSpPr>
        <xdr:sp macro="" textlink="Personalização!B12">
          <xdr:nvSpPr>
            <xdr:cNvPr id="205" name="CaixaDeTexto 204">
              <a:extLst>
                <a:ext uri="{FF2B5EF4-FFF2-40B4-BE49-F238E27FC236}">
                  <a16:creationId xmlns:a16="http://schemas.microsoft.com/office/drawing/2014/main" id="{F2E62689-10F9-9377-A19A-4D7E01EAEE98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580709F-513B-FF45-9A5D-80943B320149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Plano de Saúde</a:t>
              </a:fld>
              <a:endParaRPr lang="pt-BR" sz="5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1">
          <xdr:nvSpPr>
            <xdr:cNvPr id="206" name="CaixaDeTexto 205">
              <a:extLst>
                <a:ext uri="{FF2B5EF4-FFF2-40B4-BE49-F238E27FC236}">
                  <a16:creationId xmlns:a16="http://schemas.microsoft.com/office/drawing/2014/main" id="{899B643D-F3EE-A85B-A0B1-5285D1BE0A36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84448535-EE22-BE42-B6CE-F6359FE38210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  <xdr:grpSp>
        <xdr:nvGrpSpPr>
          <xdr:cNvPr id="201" name="Agrupar 200">
            <a:extLst>
              <a:ext uri="{FF2B5EF4-FFF2-40B4-BE49-F238E27FC236}">
                <a16:creationId xmlns:a16="http://schemas.microsoft.com/office/drawing/2014/main" id="{A4E3080C-F1A6-BD2D-6A40-46C8AE7269E5}"/>
              </a:ext>
            </a:extLst>
          </xdr:cNvPr>
          <xdr:cNvGrpSpPr/>
        </xdr:nvGrpSpPr>
        <xdr:grpSpPr>
          <a:xfrm rot="12561259">
            <a:off x="6017315" y="449692"/>
            <a:ext cx="1083324" cy="2200320"/>
            <a:chOff x="11439792" y="4672704"/>
            <a:chExt cx="1088540" cy="2259872"/>
          </a:xfrm>
        </xdr:grpSpPr>
        <xdr:cxnSp macro="">
          <xdr:nvCxnSpPr>
            <xdr:cNvPr id="203" name="Conector Reto 252">
              <a:extLst>
                <a:ext uri="{FF2B5EF4-FFF2-40B4-BE49-F238E27FC236}">
                  <a16:creationId xmlns:a16="http://schemas.microsoft.com/office/drawing/2014/main" id="{A21B212F-C17B-0D3A-5D4B-5936C97FB739}"/>
                </a:ext>
              </a:extLst>
            </xdr:cNvPr>
            <xdr:cNvCxnSpPr>
              <a:endCxn id="204" idx="7"/>
            </xdr:cNvCxnSpPr>
          </xdr:nvCxnSpPr>
          <xdr:spPr>
            <a:xfrm rot="9038741" flipV="1">
              <a:off x="11439792" y="4672704"/>
              <a:ext cx="1088540" cy="1578936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4" name="Oval 253">
              <a:extLst>
                <a:ext uri="{FF2B5EF4-FFF2-40B4-BE49-F238E27FC236}">
                  <a16:creationId xmlns:a16="http://schemas.microsoft.com/office/drawing/2014/main" id="{BD83F860-497F-EAF3-7E45-015E871E575C}"/>
                </a:ext>
              </a:extLst>
            </xdr:cNvPr>
            <xdr:cNvSpPr>
              <a:spLocks noChangeAspect="1"/>
            </xdr:cNvSpPr>
          </xdr:nvSpPr>
          <xdr:spPr>
            <a:xfrm rot="19198489">
              <a:off x="11620084" y="6447063"/>
              <a:ext cx="435125" cy="48551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1">
        <xdr:nvSpPr>
          <xdr:cNvPr id="202" name="CaixaDeTexto 201">
            <a:extLst>
              <a:ext uri="{FF2B5EF4-FFF2-40B4-BE49-F238E27FC236}">
                <a16:creationId xmlns:a16="http://schemas.microsoft.com/office/drawing/2014/main" id="{7D3250F4-19A2-1EAA-78AA-461F9039BDD4}"/>
              </a:ext>
            </a:extLst>
          </xdr:cNvPr>
          <xdr:cNvSpPr txBox="1"/>
        </xdr:nvSpPr>
        <xdr:spPr>
          <a:xfrm>
            <a:off x="6805306" y="701400"/>
            <a:ext cx="566241" cy="3720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5A1CE91-8D52-AA4E-9C67-DFDB0F4EFC34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</xdr:grpSp>
    <xdr:clientData/>
  </xdr:twoCellAnchor>
  <xdr:twoCellAnchor>
    <xdr:from>
      <xdr:col>6</xdr:col>
      <xdr:colOff>824312</xdr:colOff>
      <xdr:row>14</xdr:row>
      <xdr:rowOff>59876</xdr:rowOff>
    </xdr:from>
    <xdr:to>
      <xdr:col>8</xdr:col>
      <xdr:colOff>559023</xdr:colOff>
      <xdr:row>19</xdr:row>
      <xdr:rowOff>134901</xdr:rowOff>
    </xdr:to>
    <xdr:grpSp>
      <xdr:nvGrpSpPr>
        <xdr:cNvPr id="207" name="gDespFixa2">
          <a:extLst>
            <a:ext uri="{FF2B5EF4-FFF2-40B4-BE49-F238E27FC236}">
              <a16:creationId xmlns:a16="http://schemas.microsoft.com/office/drawing/2014/main" id="{FA379696-0455-438B-854B-119D751EFB93}"/>
            </a:ext>
          </a:extLst>
        </xdr:cNvPr>
        <xdr:cNvGrpSpPr/>
      </xdr:nvGrpSpPr>
      <xdr:grpSpPr>
        <a:xfrm>
          <a:off x="6221812" y="2726876"/>
          <a:ext cx="1533878" cy="1027525"/>
          <a:chOff x="5802712" y="2917377"/>
          <a:chExt cx="1385711" cy="1091025"/>
        </a:xfrm>
      </xdr:grpSpPr>
      <xdr:grpSp>
        <xdr:nvGrpSpPr>
          <xdr:cNvPr id="208" name="Agrupar 207">
            <a:extLst>
              <a:ext uri="{FF2B5EF4-FFF2-40B4-BE49-F238E27FC236}">
                <a16:creationId xmlns:a16="http://schemas.microsoft.com/office/drawing/2014/main" id="{AD9CB839-92BF-E4E4-54F6-1ECA330C5015}"/>
              </a:ext>
            </a:extLst>
          </xdr:cNvPr>
          <xdr:cNvGrpSpPr/>
        </xdr:nvGrpSpPr>
        <xdr:grpSpPr>
          <a:xfrm>
            <a:off x="5887352" y="2917377"/>
            <a:ext cx="821253" cy="557427"/>
            <a:chOff x="5887352" y="2866576"/>
            <a:chExt cx="821253" cy="546322"/>
          </a:xfrm>
        </xdr:grpSpPr>
        <xdr:cxnSp macro="">
          <xdr:nvCxnSpPr>
            <xdr:cNvPr id="213" name="Conector Reto 227">
              <a:extLst>
                <a:ext uri="{FF2B5EF4-FFF2-40B4-BE49-F238E27FC236}">
                  <a16:creationId xmlns:a16="http://schemas.microsoft.com/office/drawing/2014/main" id="{0D83DDF8-F8DF-1F77-AAFA-3663306E5791}"/>
                </a:ext>
              </a:extLst>
            </xdr:cNvPr>
            <xdr:cNvCxnSpPr/>
          </xdr:nvCxnSpPr>
          <xdr:spPr>
            <a:xfrm>
              <a:off x="5887352" y="2866576"/>
              <a:ext cx="544291" cy="272138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4" name="Oval 228">
              <a:extLst>
                <a:ext uri="{FF2B5EF4-FFF2-40B4-BE49-F238E27FC236}">
                  <a16:creationId xmlns:a16="http://schemas.microsoft.com/office/drawing/2014/main" id="{85DCBCC7-422A-CA4D-7C5B-B6B7C25FF7DB}"/>
                </a:ext>
              </a:extLst>
            </xdr:cNvPr>
            <xdr:cNvSpPr>
              <a:spLocks noChangeAspect="1"/>
            </xdr:cNvSpPr>
          </xdr:nvSpPr>
          <xdr:spPr>
            <a:xfrm rot="9139259">
              <a:off x="6276605" y="2951457"/>
              <a:ext cx="432000" cy="461441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7">
        <xdr:nvSpPr>
          <xdr:cNvPr id="209" name="CaixaDeTexto 208">
            <a:extLst>
              <a:ext uri="{FF2B5EF4-FFF2-40B4-BE49-F238E27FC236}">
                <a16:creationId xmlns:a16="http://schemas.microsoft.com/office/drawing/2014/main" id="{F23BA247-479F-DBAC-C285-F66B8C9BA36F}"/>
              </a:ext>
            </a:extLst>
          </xdr:cNvPr>
          <xdr:cNvSpPr txBox="1"/>
        </xdr:nvSpPr>
        <xdr:spPr>
          <a:xfrm>
            <a:off x="6253800" y="3044167"/>
            <a:ext cx="566242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4B7E778-09B6-4E40-B8F7-B8D643F56BEF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10" name="Agrupar 209">
            <a:extLst>
              <a:ext uri="{FF2B5EF4-FFF2-40B4-BE49-F238E27FC236}">
                <a16:creationId xmlns:a16="http://schemas.microsoft.com/office/drawing/2014/main" id="{8692C73C-A76E-7FC4-5310-A1281D41FC4E}"/>
              </a:ext>
            </a:extLst>
          </xdr:cNvPr>
          <xdr:cNvGrpSpPr/>
        </xdr:nvGrpSpPr>
        <xdr:grpSpPr>
          <a:xfrm>
            <a:off x="5802712" y="3574069"/>
            <a:ext cx="1385711" cy="434333"/>
            <a:chOff x="16367700" y="5122058"/>
            <a:chExt cx="1399822" cy="423045"/>
          </a:xfrm>
        </xdr:grpSpPr>
        <xdr:sp macro="" textlink="Personalização!B8">
          <xdr:nvSpPr>
            <xdr:cNvPr id="211" name="CaixaDeTexto 210">
              <a:extLst>
                <a:ext uri="{FF2B5EF4-FFF2-40B4-BE49-F238E27FC236}">
                  <a16:creationId xmlns:a16="http://schemas.microsoft.com/office/drawing/2014/main" id="{574D260E-F277-F9D0-F715-39537D38E50F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0A7E3AE-D616-B343-9066-2B71D81D9284}" type="TxLink">
                <a:rPr lang="en-US" sz="1200" b="0" i="0" u="none" strike="noStrike">
                  <a:solidFill>
                    <a:schemeClr val="bg1"/>
                  </a:solidFill>
                  <a:latin typeface="Aptos Narrow"/>
                  <a:ea typeface="+mn-ea"/>
                  <a:cs typeface="Calibri"/>
                </a:rPr>
                <a:pPr marL="0" indent="0" algn="ctr"/>
                <a:t>Água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7">
          <xdr:nvSpPr>
            <xdr:cNvPr id="212" name="CaixaDeTexto 211">
              <a:extLst>
                <a:ext uri="{FF2B5EF4-FFF2-40B4-BE49-F238E27FC236}">
                  <a16:creationId xmlns:a16="http://schemas.microsoft.com/office/drawing/2014/main" id="{F82E1785-5C15-CE8C-2336-E35B1EBC7A70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5B11B73A-8E4F-2C4A-93A4-FC7B63D2EC24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5</xdr:col>
      <xdr:colOff>389690</xdr:colOff>
      <xdr:row>5</xdr:row>
      <xdr:rowOff>173291</xdr:rowOff>
    </xdr:from>
    <xdr:to>
      <xdr:col>7</xdr:col>
      <xdr:colOff>124401</xdr:colOff>
      <xdr:row>11</xdr:row>
      <xdr:rowOff>116978</xdr:rowOff>
    </xdr:to>
    <xdr:grpSp>
      <xdr:nvGrpSpPr>
        <xdr:cNvPr id="215" name="gDespFixa1">
          <a:extLst>
            <a:ext uri="{FF2B5EF4-FFF2-40B4-BE49-F238E27FC236}">
              <a16:creationId xmlns:a16="http://schemas.microsoft.com/office/drawing/2014/main" id="{81D16C04-893C-4545-AA70-627A52462198}"/>
            </a:ext>
          </a:extLst>
        </xdr:cNvPr>
        <xdr:cNvGrpSpPr/>
      </xdr:nvGrpSpPr>
      <xdr:grpSpPr>
        <a:xfrm>
          <a:off x="4887607" y="1125791"/>
          <a:ext cx="1533877" cy="1086687"/>
          <a:chOff x="4466390" y="1113091"/>
          <a:chExt cx="1385711" cy="1162846"/>
        </a:xfrm>
      </xdr:grpSpPr>
      <xdr:grpSp>
        <xdr:nvGrpSpPr>
          <xdr:cNvPr id="216" name="Agrupar 215">
            <a:extLst>
              <a:ext uri="{FF2B5EF4-FFF2-40B4-BE49-F238E27FC236}">
                <a16:creationId xmlns:a16="http://schemas.microsoft.com/office/drawing/2014/main" id="{B7A96776-EB82-3C89-B454-932D81F154C7}"/>
              </a:ext>
            </a:extLst>
          </xdr:cNvPr>
          <xdr:cNvGrpSpPr/>
        </xdr:nvGrpSpPr>
        <xdr:grpSpPr>
          <a:xfrm rot="12878060">
            <a:off x="5177236" y="1518625"/>
            <a:ext cx="529737" cy="757312"/>
            <a:chOff x="11515159" y="6166046"/>
            <a:chExt cx="532287" cy="778534"/>
          </a:xfrm>
        </xdr:grpSpPr>
        <xdr:cxnSp macro="">
          <xdr:nvCxnSpPr>
            <xdr:cNvPr id="221" name="Conector Reto 258">
              <a:extLst>
                <a:ext uri="{FF2B5EF4-FFF2-40B4-BE49-F238E27FC236}">
                  <a16:creationId xmlns:a16="http://schemas.microsoft.com/office/drawing/2014/main" id="{F49572F6-096E-F4EE-B1B6-68F02D03E148}"/>
                </a:ext>
              </a:extLst>
            </xdr:cNvPr>
            <xdr:cNvCxnSpPr/>
          </xdr:nvCxnSpPr>
          <xdr:spPr>
            <a:xfrm rot="8721940" flipH="1" flipV="1">
              <a:off x="11515159" y="6166046"/>
              <a:ext cx="73162" cy="472546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2" name="Oval 259">
              <a:extLst>
                <a:ext uri="{FF2B5EF4-FFF2-40B4-BE49-F238E27FC236}">
                  <a16:creationId xmlns:a16="http://schemas.microsoft.com/office/drawing/2014/main" id="{40766EA1-1BBF-8B92-BAFD-D56229E724B0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13367" y="6455048"/>
              <a:ext cx="434079" cy="489532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6">
        <xdr:nvSpPr>
          <xdr:cNvPr id="217" name="CaixaDeTexto 216">
            <a:extLst>
              <a:ext uri="{FF2B5EF4-FFF2-40B4-BE49-F238E27FC236}">
                <a16:creationId xmlns:a16="http://schemas.microsoft.com/office/drawing/2014/main" id="{6A3584F6-4C4B-CDF0-4BD6-4E17A6C6B985}"/>
              </a:ext>
            </a:extLst>
          </xdr:cNvPr>
          <xdr:cNvSpPr txBox="1"/>
        </xdr:nvSpPr>
        <xdr:spPr>
          <a:xfrm>
            <a:off x="5195424" y="1572195"/>
            <a:ext cx="573297" cy="37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093BCD1E-A9BA-9B4F-9CA1-EA5B0C0CE181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18" name="Agrupar 217">
            <a:extLst>
              <a:ext uri="{FF2B5EF4-FFF2-40B4-BE49-F238E27FC236}">
                <a16:creationId xmlns:a16="http://schemas.microsoft.com/office/drawing/2014/main" id="{11EA2550-2F0A-703E-A107-6DBA7CE1CBB0}"/>
              </a:ext>
            </a:extLst>
          </xdr:cNvPr>
          <xdr:cNvGrpSpPr/>
        </xdr:nvGrpSpPr>
        <xdr:grpSpPr>
          <a:xfrm>
            <a:off x="4466390" y="1113091"/>
            <a:ext cx="1385711" cy="434333"/>
            <a:chOff x="16431847" y="5010729"/>
            <a:chExt cx="1399822" cy="423044"/>
          </a:xfrm>
        </xdr:grpSpPr>
        <xdr:sp macro="" textlink="Personalização!B7">
          <xdr:nvSpPr>
            <xdr:cNvPr id="219" name="CaixaDeTexto 218">
              <a:extLst>
                <a:ext uri="{FF2B5EF4-FFF2-40B4-BE49-F238E27FC236}">
                  <a16:creationId xmlns:a16="http://schemas.microsoft.com/office/drawing/2014/main" id="{3D566656-CE46-1B5D-5CFC-D0A4180BE7B7}"/>
                </a:ext>
              </a:extLst>
            </xdr:cNvPr>
            <xdr:cNvSpPr txBox="1"/>
          </xdr:nvSpPr>
          <xdr:spPr>
            <a:xfrm>
              <a:off x="16572168" y="5010729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42FF86F-FB81-B844-AE59-1D6B65622877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Aluguel + Condomínio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6">
          <xdr:nvSpPr>
            <xdr:cNvPr id="220" name="CaixaDeTexto 219">
              <a:extLst>
                <a:ext uri="{FF2B5EF4-FFF2-40B4-BE49-F238E27FC236}">
                  <a16:creationId xmlns:a16="http://schemas.microsoft.com/office/drawing/2014/main" id="{E8BA959C-6EBB-D5E3-2392-E5BF7CE0A04E}"/>
                </a:ext>
              </a:extLst>
            </xdr:cNvPr>
            <xdr:cNvSpPr txBox="1"/>
          </xdr:nvSpPr>
          <xdr:spPr>
            <a:xfrm>
              <a:off x="16431847" y="516435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BC70A7C-97A5-3441-9AFD-DE5443AC3BBF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3</xdr:col>
      <xdr:colOff>772806</xdr:colOff>
      <xdr:row>8</xdr:row>
      <xdr:rowOff>149645</xdr:rowOff>
    </xdr:from>
    <xdr:to>
      <xdr:col>6</xdr:col>
      <xdr:colOff>438308</xdr:colOff>
      <xdr:row>14</xdr:row>
      <xdr:rowOff>143349</xdr:rowOff>
    </xdr:to>
    <xdr:grpSp>
      <xdr:nvGrpSpPr>
        <xdr:cNvPr id="223" name="gDespFixa5">
          <a:extLst>
            <a:ext uri="{FF2B5EF4-FFF2-40B4-BE49-F238E27FC236}">
              <a16:creationId xmlns:a16="http://schemas.microsoft.com/office/drawing/2014/main" id="{3D8FF018-BC52-4749-AF95-3FFF24026E5F}"/>
            </a:ext>
          </a:extLst>
        </xdr:cNvPr>
        <xdr:cNvGrpSpPr/>
      </xdr:nvGrpSpPr>
      <xdr:grpSpPr>
        <a:xfrm>
          <a:off x="3471556" y="1673645"/>
          <a:ext cx="2364252" cy="1136704"/>
          <a:chOff x="3166757" y="1795329"/>
          <a:chExt cx="2064952" cy="1203083"/>
        </a:xfrm>
      </xdr:grpSpPr>
      <xdr:grpSp>
        <xdr:nvGrpSpPr>
          <xdr:cNvPr id="224" name="Agrupar 223">
            <a:extLst>
              <a:ext uri="{FF2B5EF4-FFF2-40B4-BE49-F238E27FC236}">
                <a16:creationId xmlns:a16="http://schemas.microsoft.com/office/drawing/2014/main" id="{BE5836FA-1C40-5949-FCE5-AAEBD68BBCB6}"/>
              </a:ext>
            </a:extLst>
          </xdr:cNvPr>
          <xdr:cNvGrpSpPr/>
        </xdr:nvGrpSpPr>
        <xdr:grpSpPr>
          <a:xfrm rot="12347359">
            <a:off x="3642459" y="2376457"/>
            <a:ext cx="1589250" cy="621955"/>
            <a:chOff x="10434401" y="6458364"/>
            <a:chExt cx="1596903" cy="640016"/>
          </a:xfrm>
        </xdr:grpSpPr>
        <xdr:cxnSp macro="">
          <xdr:nvCxnSpPr>
            <xdr:cNvPr id="229" name="Conector Reto 247">
              <a:extLst>
                <a:ext uri="{FF2B5EF4-FFF2-40B4-BE49-F238E27FC236}">
                  <a16:creationId xmlns:a16="http://schemas.microsoft.com/office/drawing/2014/main" id="{30211FA3-95A5-F51B-FE7D-57B30E82D3CF}"/>
                </a:ext>
              </a:extLst>
            </xdr:cNvPr>
            <xdr:cNvCxnSpPr>
              <a:stCxn id="280" idx="6"/>
              <a:endCxn id="230" idx="2"/>
            </xdr:cNvCxnSpPr>
          </xdr:nvCxnSpPr>
          <xdr:spPr>
            <a:xfrm rot="9252641" flipH="1" flipV="1">
              <a:off x="10434401" y="6939839"/>
              <a:ext cx="1222052" cy="158541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0" name="Oval 248">
              <a:extLst>
                <a:ext uri="{FF2B5EF4-FFF2-40B4-BE49-F238E27FC236}">
                  <a16:creationId xmlns:a16="http://schemas.microsoft.com/office/drawing/2014/main" id="{83765BD4-13C7-CC0D-0AAC-E1704A1776EE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12838" y="6458364"/>
              <a:ext cx="418466" cy="48402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0">
        <xdr:nvSpPr>
          <xdr:cNvPr id="225" name="CaixaDeTexto 224">
            <a:extLst>
              <a:ext uri="{FF2B5EF4-FFF2-40B4-BE49-F238E27FC236}">
                <a16:creationId xmlns:a16="http://schemas.microsoft.com/office/drawing/2014/main" id="{969A0B04-4234-EC7A-5379-D022B8FE428F}"/>
              </a:ext>
            </a:extLst>
          </xdr:cNvPr>
          <xdr:cNvSpPr txBox="1"/>
        </xdr:nvSpPr>
        <xdr:spPr>
          <a:xfrm>
            <a:off x="3607014" y="2272404"/>
            <a:ext cx="566241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E52CA747-465B-EC4B-8379-54FAFC4E16D7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5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26" name="Agrupar 225">
            <a:extLst>
              <a:ext uri="{FF2B5EF4-FFF2-40B4-BE49-F238E27FC236}">
                <a16:creationId xmlns:a16="http://schemas.microsoft.com/office/drawing/2014/main" id="{4451DCA7-D30B-7042-4AC0-B33F6BD943D6}"/>
              </a:ext>
            </a:extLst>
          </xdr:cNvPr>
          <xdr:cNvGrpSpPr/>
        </xdr:nvGrpSpPr>
        <xdr:grpSpPr>
          <a:xfrm>
            <a:off x="3166757" y="1795329"/>
            <a:ext cx="1392766" cy="461215"/>
            <a:chOff x="16227293" y="5029260"/>
            <a:chExt cx="1399822" cy="449228"/>
          </a:xfrm>
        </xdr:grpSpPr>
        <xdr:sp macro="" textlink="Personalização!B11">
          <xdr:nvSpPr>
            <xdr:cNvPr id="227" name="CaixaDeTexto 226">
              <a:extLst>
                <a:ext uri="{FF2B5EF4-FFF2-40B4-BE49-F238E27FC236}">
                  <a16:creationId xmlns:a16="http://schemas.microsoft.com/office/drawing/2014/main" id="{A3EB8265-45B3-C402-175D-7DF0BDF0CE5E}"/>
                </a:ext>
              </a:extLst>
            </xdr:cNvPr>
            <xdr:cNvSpPr txBox="1"/>
          </xdr:nvSpPr>
          <xdr:spPr>
            <a:xfrm>
              <a:off x="16367615" y="5029260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F2D6751-6E1A-1C40-90C1-2D23D6E83B88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Financiamento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0">
          <xdr:nvSpPr>
            <xdr:cNvPr id="228" name="CaixaDeTexto 227">
              <a:extLst>
                <a:ext uri="{FF2B5EF4-FFF2-40B4-BE49-F238E27FC236}">
                  <a16:creationId xmlns:a16="http://schemas.microsoft.com/office/drawing/2014/main" id="{A66ECD82-52B5-2B86-44F8-9CEE7A53F038}"/>
                </a:ext>
              </a:extLst>
            </xdr:cNvPr>
            <xdr:cNvSpPr txBox="1"/>
          </xdr:nvSpPr>
          <xdr:spPr>
            <a:xfrm>
              <a:off x="16227293" y="5209068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AFA5F7B-7B92-634E-B82F-429E9C498E08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3</xdr:col>
      <xdr:colOff>760098</xdr:colOff>
      <xdr:row>13</xdr:row>
      <xdr:rowOff>41762</xdr:rowOff>
    </xdr:from>
    <xdr:to>
      <xdr:col>6</xdr:col>
      <xdr:colOff>502937</xdr:colOff>
      <xdr:row>19</xdr:row>
      <xdr:rowOff>48828</xdr:rowOff>
    </xdr:to>
    <xdr:grpSp>
      <xdr:nvGrpSpPr>
        <xdr:cNvPr id="231" name="gDespFixa4">
          <a:extLst>
            <a:ext uri="{FF2B5EF4-FFF2-40B4-BE49-F238E27FC236}">
              <a16:creationId xmlns:a16="http://schemas.microsoft.com/office/drawing/2014/main" id="{90AE67B4-3D25-4611-9526-C5E5B3D8682B}"/>
            </a:ext>
          </a:extLst>
        </xdr:cNvPr>
        <xdr:cNvGrpSpPr/>
      </xdr:nvGrpSpPr>
      <xdr:grpSpPr>
        <a:xfrm>
          <a:off x="3458848" y="2518262"/>
          <a:ext cx="2441589" cy="1150066"/>
          <a:chOff x="3310760" y="2722008"/>
          <a:chExt cx="2043699" cy="1225723"/>
        </a:xfrm>
      </xdr:grpSpPr>
      <xdr:grpSp>
        <xdr:nvGrpSpPr>
          <xdr:cNvPr id="232" name="Agrupar 231">
            <a:extLst>
              <a:ext uri="{FF2B5EF4-FFF2-40B4-BE49-F238E27FC236}">
                <a16:creationId xmlns:a16="http://schemas.microsoft.com/office/drawing/2014/main" id="{AD6DE366-FB2F-C9EE-35BB-DD8002D11CE7}"/>
              </a:ext>
            </a:extLst>
          </xdr:cNvPr>
          <xdr:cNvGrpSpPr/>
        </xdr:nvGrpSpPr>
        <xdr:grpSpPr>
          <a:xfrm rot="16888669">
            <a:off x="4323550" y="2546409"/>
            <a:ext cx="855310" cy="1206508"/>
            <a:chOff x="11611148" y="6551536"/>
            <a:chExt cx="851897" cy="1253161"/>
          </a:xfrm>
        </xdr:grpSpPr>
        <xdr:cxnSp macro="">
          <xdr:nvCxnSpPr>
            <xdr:cNvPr id="237" name="Conector Reto 218">
              <a:extLst>
                <a:ext uri="{FF2B5EF4-FFF2-40B4-BE49-F238E27FC236}">
                  <a16:creationId xmlns:a16="http://schemas.microsoft.com/office/drawing/2014/main" id="{1FA0CF42-E8B9-F00B-9AE2-5EEA6E653938}"/>
                </a:ext>
              </a:extLst>
            </xdr:cNvPr>
            <xdr:cNvCxnSpPr/>
          </xdr:nvCxnSpPr>
          <xdr:spPr>
            <a:xfrm flipH="1" flipV="1">
              <a:off x="11886383" y="6820796"/>
              <a:ext cx="576662" cy="983901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38" name="Oval 219">
              <a:extLst>
                <a:ext uri="{FF2B5EF4-FFF2-40B4-BE49-F238E27FC236}">
                  <a16:creationId xmlns:a16="http://schemas.microsoft.com/office/drawing/2014/main" id="{764EA9BC-BB85-887B-CCEC-6970842654ED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611148" y="6551536"/>
              <a:ext cx="471602" cy="413194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9">
        <xdr:nvSpPr>
          <xdr:cNvPr id="233" name="CaixaDeTexto 232">
            <a:extLst>
              <a:ext uri="{FF2B5EF4-FFF2-40B4-BE49-F238E27FC236}">
                <a16:creationId xmlns:a16="http://schemas.microsoft.com/office/drawing/2014/main" id="{799A95AE-82F4-C2D3-069C-B8F3F18429D1}"/>
              </a:ext>
            </a:extLst>
          </xdr:cNvPr>
          <xdr:cNvSpPr txBox="1"/>
        </xdr:nvSpPr>
        <xdr:spPr>
          <a:xfrm>
            <a:off x="4037521" y="3077008"/>
            <a:ext cx="566241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79904F73-15E1-E34E-9D82-67AB277F0D39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34" name="Agrupar 233">
            <a:extLst>
              <a:ext uri="{FF2B5EF4-FFF2-40B4-BE49-F238E27FC236}">
                <a16:creationId xmlns:a16="http://schemas.microsoft.com/office/drawing/2014/main" id="{C04AE1AD-9629-A86F-2179-8268159369B6}"/>
              </a:ext>
            </a:extLst>
          </xdr:cNvPr>
          <xdr:cNvGrpSpPr/>
        </xdr:nvGrpSpPr>
        <xdr:grpSpPr>
          <a:xfrm>
            <a:off x="3310760" y="3486323"/>
            <a:ext cx="1385711" cy="461408"/>
            <a:chOff x="16410537" y="5095690"/>
            <a:chExt cx="1399822" cy="449416"/>
          </a:xfrm>
        </xdr:grpSpPr>
        <xdr:sp macro="" textlink="Personalização!B10">
          <xdr:nvSpPr>
            <xdr:cNvPr id="235" name="CaixaDeTexto 234">
              <a:extLst>
                <a:ext uri="{FF2B5EF4-FFF2-40B4-BE49-F238E27FC236}">
                  <a16:creationId xmlns:a16="http://schemas.microsoft.com/office/drawing/2014/main" id="{B92EBD9C-08C1-9A07-E56F-C9E411E441B6}"/>
                </a:ext>
              </a:extLst>
            </xdr:cNvPr>
            <xdr:cNvSpPr txBox="1"/>
          </xdr:nvSpPr>
          <xdr:spPr>
            <a:xfrm>
              <a:off x="16518732" y="5095690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72154B5-A7C3-A548-AEC3-E487BC258684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Internet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9">
          <xdr:nvSpPr>
            <xdr:cNvPr id="236" name="CaixaDeTexto 235">
              <a:extLst>
                <a:ext uri="{FF2B5EF4-FFF2-40B4-BE49-F238E27FC236}">
                  <a16:creationId xmlns:a16="http://schemas.microsoft.com/office/drawing/2014/main" id="{A8AB3B4A-A319-A567-0D2A-3E7E7D40542B}"/>
                </a:ext>
              </a:extLst>
            </xdr:cNvPr>
            <xdr:cNvSpPr txBox="1"/>
          </xdr:nvSpPr>
          <xdr:spPr>
            <a:xfrm>
              <a:off x="16410537" y="5275686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74172D2F-A6BC-F54C-A50D-49AC3168E1E7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4</xdr:col>
      <xdr:colOff>196362</xdr:colOff>
      <xdr:row>14</xdr:row>
      <xdr:rowOff>16463</xdr:rowOff>
    </xdr:from>
    <xdr:to>
      <xdr:col>6</xdr:col>
      <xdr:colOff>371665</xdr:colOff>
      <xdr:row>24</xdr:row>
      <xdr:rowOff>64345</xdr:rowOff>
    </xdr:to>
    <xdr:grpSp>
      <xdr:nvGrpSpPr>
        <xdr:cNvPr id="239" name="gDespFixa7">
          <a:extLst>
            <a:ext uri="{FF2B5EF4-FFF2-40B4-BE49-F238E27FC236}">
              <a16:creationId xmlns:a16="http://schemas.microsoft.com/office/drawing/2014/main" id="{594E8EE1-4F50-4D9F-A3F9-86B8D05F9E9F}"/>
            </a:ext>
          </a:extLst>
        </xdr:cNvPr>
        <xdr:cNvGrpSpPr/>
      </xdr:nvGrpSpPr>
      <xdr:grpSpPr>
        <a:xfrm>
          <a:off x="3794695" y="2683463"/>
          <a:ext cx="1974470" cy="1952882"/>
          <a:chOff x="3409467" y="2938506"/>
          <a:chExt cx="1827540" cy="2078841"/>
        </a:xfrm>
      </xdr:grpSpPr>
      <xdr:grpSp>
        <xdr:nvGrpSpPr>
          <xdr:cNvPr id="240" name="Agrupar 239">
            <a:extLst>
              <a:ext uri="{FF2B5EF4-FFF2-40B4-BE49-F238E27FC236}">
                <a16:creationId xmlns:a16="http://schemas.microsoft.com/office/drawing/2014/main" id="{BDBCF62D-A146-F340-5041-168F19DFEF91}"/>
              </a:ext>
            </a:extLst>
          </xdr:cNvPr>
          <xdr:cNvGrpSpPr/>
        </xdr:nvGrpSpPr>
        <xdr:grpSpPr>
          <a:xfrm rot="12878060">
            <a:off x="4218380" y="2938506"/>
            <a:ext cx="1018627" cy="1825920"/>
            <a:chOff x="11108904" y="6454871"/>
            <a:chExt cx="1023532" cy="1876969"/>
          </a:xfrm>
        </xdr:grpSpPr>
        <xdr:cxnSp macro="">
          <xdr:nvCxnSpPr>
            <xdr:cNvPr id="245" name="Conector Reto 242">
              <a:extLst>
                <a:ext uri="{FF2B5EF4-FFF2-40B4-BE49-F238E27FC236}">
                  <a16:creationId xmlns:a16="http://schemas.microsoft.com/office/drawing/2014/main" id="{8F491D78-4897-B03D-4F08-5F9E554A7C39}"/>
                </a:ext>
              </a:extLst>
            </xdr:cNvPr>
            <xdr:cNvCxnSpPr>
              <a:endCxn id="246" idx="3"/>
            </xdr:cNvCxnSpPr>
          </xdr:nvCxnSpPr>
          <xdr:spPr>
            <a:xfrm rot="8721940" flipH="1">
              <a:off x="11108904" y="7137454"/>
              <a:ext cx="1023532" cy="1194386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46" name="Oval 243">
              <a:extLst>
                <a:ext uri="{FF2B5EF4-FFF2-40B4-BE49-F238E27FC236}">
                  <a16:creationId xmlns:a16="http://schemas.microsoft.com/office/drawing/2014/main" id="{70415311-905A-F9F7-AD71-754CE62D5595}"/>
                </a:ext>
              </a:extLst>
            </xdr:cNvPr>
            <xdr:cNvSpPr>
              <a:spLocks/>
            </xdr:cNvSpPr>
          </xdr:nvSpPr>
          <xdr:spPr>
            <a:xfrm rot="20402204">
              <a:off x="11613050" y="6454871"/>
              <a:ext cx="434374" cy="485888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2">
        <xdr:nvSpPr>
          <xdr:cNvPr id="241" name="CaixaDeTexto 240">
            <a:extLst>
              <a:ext uri="{FF2B5EF4-FFF2-40B4-BE49-F238E27FC236}">
                <a16:creationId xmlns:a16="http://schemas.microsoft.com/office/drawing/2014/main" id="{23599C30-8C21-C837-0252-338AF1931AB6}"/>
              </a:ext>
            </a:extLst>
          </xdr:cNvPr>
          <xdr:cNvSpPr txBox="1"/>
        </xdr:nvSpPr>
        <xdr:spPr>
          <a:xfrm>
            <a:off x="3937914" y="4100823"/>
            <a:ext cx="566241" cy="3776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FD916E96-0A64-CA48-804C-25AAC261A30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0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42" name="Agrupar 241">
            <a:extLst>
              <a:ext uri="{FF2B5EF4-FFF2-40B4-BE49-F238E27FC236}">
                <a16:creationId xmlns:a16="http://schemas.microsoft.com/office/drawing/2014/main" id="{851B0C16-47D8-13DB-9004-3EADEABC8B56}"/>
              </a:ext>
            </a:extLst>
          </xdr:cNvPr>
          <xdr:cNvGrpSpPr/>
        </xdr:nvGrpSpPr>
        <xdr:grpSpPr>
          <a:xfrm>
            <a:off x="3409467" y="4583013"/>
            <a:ext cx="1392766" cy="434334"/>
            <a:chOff x="16367700" y="5122058"/>
            <a:chExt cx="1399822" cy="423045"/>
          </a:xfrm>
        </xdr:grpSpPr>
        <xdr:sp macro="" textlink="Personalização!B13">
          <xdr:nvSpPr>
            <xdr:cNvPr id="243" name="CaixaDeTexto 242">
              <a:extLst>
                <a:ext uri="{FF2B5EF4-FFF2-40B4-BE49-F238E27FC236}">
                  <a16:creationId xmlns:a16="http://schemas.microsoft.com/office/drawing/2014/main" id="{71F1E595-5B7F-7F7A-0C8C-75BC37114997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25FF8B31-44AB-E844-8BC7-4476112F5EBA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Seguro Carro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2">
          <xdr:nvSpPr>
            <xdr:cNvPr id="244" name="CaixaDeTexto 243">
              <a:extLst>
                <a:ext uri="{FF2B5EF4-FFF2-40B4-BE49-F238E27FC236}">
                  <a16:creationId xmlns:a16="http://schemas.microsoft.com/office/drawing/2014/main" id="{B0CA13C7-32D5-A0A8-B2F3-7AFD25278D59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98312885-E07D-344C-8D47-9EA600A091B2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6</xdr:col>
      <xdr:colOff>288089</xdr:colOff>
      <xdr:row>15</xdr:row>
      <xdr:rowOff>86889</xdr:rowOff>
    </xdr:from>
    <xdr:to>
      <xdr:col>8</xdr:col>
      <xdr:colOff>22800</xdr:colOff>
      <xdr:row>28</xdr:row>
      <xdr:rowOff>6031</xdr:rowOff>
    </xdr:to>
    <xdr:grpSp>
      <xdr:nvGrpSpPr>
        <xdr:cNvPr id="247" name="gDespFixa9">
          <a:extLst>
            <a:ext uri="{FF2B5EF4-FFF2-40B4-BE49-F238E27FC236}">
              <a16:creationId xmlns:a16="http://schemas.microsoft.com/office/drawing/2014/main" id="{F24A28D9-1602-40E1-AA8C-126AA0CDC045}"/>
            </a:ext>
          </a:extLst>
        </xdr:cNvPr>
        <xdr:cNvGrpSpPr/>
      </xdr:nvGrpSpPr>
      <xdr:grpSpPr>
        <a:xfrm>
          <a:off x="5685589" y="2944389"/>
          <a:ext cx="1533878" cy="2395642"/>
          <a:chOff x="5241089" y="3115138"/>
          <a:chExt cx="1385711" cy="2549908"/>
        </a:xfrm>
      </xdr:grpSpPr>
      <xdr:grpSp>
        <xdr:nvGrpSpPr>
          <xdr:cNvPr id="248" name="Agrupar 247">
            <a:extLst>
              <a:ext uri="{FF2B5EF4-FFF2-40B4-BE49-F238E27FC236}">
                <a16:creationId xmlns:a16="http://schemas.microsoft.com/office/drawing/2014/main" id="{8B4FE5FD-E420-FFE6-1488-1F3B7F2F61F4}"/>
              </a:ext>
            </a:extLst>
          </xdr:cNvPr>
          <xdr:cNvGrpSpPr/>
        </xdr:nvGrpSpPr>
        <xdr:grpSpPr>
          <a:xfrm rot="12360404">
            <a:off x="5667807" y="3115138"/>
            <a:ext cx="686725" cy="2069336"/>
            <a:chOff x="11731422" y="6431705"/>
            <a:chExt cx="690031" cy="2127076"/>
          </a:xfrm>
        </xdr:grpSpPr>
        <xdr:cxnSp macro="">
          <xdr:nvCxnSpPr>
            <xdr:cNvPr id="253" name="Conector Reto 238">
              <a:extLst>
                <a:ext uri="{FF2B5EF4-FFF2-40B4-BE49-F238E27FC236}">
                  <a16:creationId xmlns:a16="http://schemas.microsoft.com/office/drawing/2014/main" id="{D7D290FD-1AC6-F363-9976-B26EEDC7C394}"/>
                </a:ext>
              </a:extLst>
            </xdr:cNvPr>
            <xdr:cNvCxnSpPr/>
          </xdr:nvCxnSpPr>
          <xdr:spPr>
            <a:xfrm rot="8721940" flipH="1">
              <a:off x="12284296" y="6693169"/>
              <a:ext cx="137157" cy="1865612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54" name="Oval 239">
              <a:extLst>
                <a:ext uri="{FF2B5EF4-FFF2-40B4-BE49-F238E27FC236}">
                  <a16:creationId xmlns:a16="http://schemas.microsoft.com/office/drawing/2014/main" id="{5DA02405-D4E1-AB1D-1E3E-4ED3A7EE0FD0}"/>
                </a:ext>
              </a:extLst>
            </xdr:cNvPr>
            <xdr:cNvSpPr>
              <a:spLocks noChangeAspect="1"/>
            </xdr:cNvSpPr>
          </xdr:nvSpPr>
          <xdr:spPr>
            <a:xfrm rot="20402204">
              <a:off x="11731422" y="6431705"/>
              <a:ext cx="434080" cy="486622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34">
        <xdr:nvSpPr>
          <xdr:cNvPr id="249" name="CaixaDeTexto 248">
            <a:extLst>
              <a:ext uri="{FF2B5EF4-FFF2-40B4-BE49-F238E27FC236}">
                <a16:creationId xmlns:a16="http://schemas.microsoft.com/office/drawing/2014/main" id="{AFFAC418-77E6-1E7D-79CE-598188FC0460}"/>
              </a:ext>
            </a:extLst>
          </xdr:cNvPr>
          <xdr:cNvSpPr txBox="1"/>
        </xdr:nvSpPr>
        <xdr:spPr>
          <a:xfrm>
            <a:off x="5519672" y="4758470"/>
            <a:ext cx="566241" cy="37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1126109A-58CC-E242-A25D-8F279A499EB5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50" name="Agrupar 249">
            <a:extLst>
              <a:ext uri="{FF2B5EF4-FFF2-40B4-BE49-F238E27FC236}">
                <a16:creationId xmlns:a16="http://schemas.microsoft.com/office/drawing/2014/main" id="{ED32F193-74F6-124D-1129-B591C8E90684}"/>
              </a:ext>
            </a:extLst>
          </xdr:cNvPr>
          <xdr:cNvGrpSpPr/>
        </xdr:nvGrpSpPr>
        <xdr:grpSpPr>
          <a:xfrm>
            <a:off x="5241089" y="5230712"/>
            <a:ext cx="1385711" cy="434334"/>
            <a:chOff x="16367700" y="5122058"/>
            <a:chExt cx="1399822" cy="423045"/>
          </a:xfrm>
        </xdr:grpSpPr>
        <xdr:sp macro="" textlink="Personalização!B15">
          <xdr:nvSpPr>
            <xdr:cNvPr id="251" name="CaixaDeTexto 250">
              <a:extLst>
                <a:ext uri="{FF2B5EF4-FFF2-40B4-BE49-F238E27FC236}">
                  <a16:creationId xmlns:a16="http://schemas.microsoft.com/office/drawing/2014/main" id="{28E6BD46-774A-F2A3-7EB5-CA0A49C9207F}"/>
                </a:ext>
              </a:extLst>
            </xdr:cNvPr>
            <xdr:cNvSpPr txBox="1"/>
          </xdr:nvSpPr>
          <xdr:spPr>
            <a:xfrm>
              <a:off x="16508022" y="5122058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641CDF81-DBBE-B54B-9A5B-B5C461CDF128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Faculdade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34">
          <xdr:nvSpPr>
            <xdr:cNvPr id="252" name="CaixaDeTexto 251">
              <a:extLst>
                <a:ext uri="{FF2B5EF4-FFF2-40B4-BE49-F238E27FC236}">
                  <a16:creationId xmlns:a16="http://schemas.microsoft.com/office/drawing/2014/main" id="{34B33543-E5D2-8DFD-4C6A-00707F290CA6}"/>
                </a:ext>
              </a:extLst>
            </xdr:cNvPr>
            <xdr:cNvSpPr txBox="1"/>
          </xdr:nvSpPr>
          <xdr:spPr>
            <a:xfrm>
              <a:off x="16367700" y="5275683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0C6C9933-C2B7-B845-AD85-7DDB220FC815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5</xdr:col>
      <xdr:colOff>347356</xdr:colOff>
      <xdr:row>15</xdr:row>
      <xdr:rowOff>114880</xdr:rowOff>
    </xdr:from>
    <xdr:to>
      <xdr:col>7</xdr:col>
      <xdr:colOff>82067</xdr:colOff>
      <xdr:row>24</xdr:row>
      <xdr:rowOff>177228</xdr:rowOff>
    </xdr:to>
    <xdr:grpSp>
      <xdr:nvGrpSpPr>
        <xdr:cNvPr id="255" name="gDespFixa3">
          <a:extLst>
            <a:ext uri="{FF2B5EF4-FFF2-40B4-BE49-F238E27FC236}">
              <a16:creationId xmlns:a16="http://schemas.microsoft.com/office/drawing/2014/main" id="{1B8977F1-7E69-4F8E-96F0-C06F7B59235A}"/>
            </a:ext>
          </a:extLst>
        </xdr:cNvPr>
        <xdr:cNvGrpSpPr/>
      </xdr:nvGrpSpPr>
      <xdr:grpSpPr>
        <a:xfrm>
          <a:off x="4845273" y="2972380"/>
          <a:ext cx="1533877" cy="1776848"/>
          <a:chOff x="4411356" y="3133232"/>
          <a:chExt cx="1385711" cy="1902535"/>
        </a:xfrm>
      </xdr:grpSpPr>
      <xdr:grpSp>
        <xdr:nvGrpSpPr>
          <xdr:cNvPr id="256" name="Agrupar 255">
            <a:extLst>
              <a:ext uri="{FF2B5EF4-FFF2-40B4-BE49-F238E27FC236}">
                <a16:creationId xmlns:a16="http://schemas.microsoft.com/office/drawing/2014/main" id="{BF103A4E-4493-729A-23CF-84F742F2CA5C}"/>
              </a:ext>
            </a:extLst>
          </xdr:cNvPr>
          <xdr:cNvGrpSpPr/>
        </xdr:nvGrpSpPr>
        <xdr:grpSpPr>
          <a:xfrm rot="14031261">
            <a:off x="4523253" y="3262876"/>
            <a:ext cx="1210088" cy="950800"/>
            <a:chOff x="11578182" y="6505474"/>
            <a:chExt cx="1202230" cy="987563"/>
          </a:xfrm>
        </xdr:grpSpPr>
        <xdr:cxnSp macro="">
          <xdr:nvCxnSpPr>
            <xdr:cNvPr id="261" name="Conector Reto 224">
              <a:extLst>
                <a:ext uri="{FF2B5EF4-FFF2-40B4-BE49-F238E27FC236}">
                  <a16:creationId xmlns:a16="http://schemas.microsoft.com/office/drawing/2014/main" id="{942DE43F-FCEE-7CBE-B2B2-12CD92E33DBD}"/>
                </a:ext>
              </a:extLst>
            </xdr:cNvPr>
            <xdr:cNvCxnSpPr>
              <a:stCxn id="280" idx="0"/>
            </xdr:cNvCxnSpPr>
          </xdr:nvCxnSpPr>
          <xdr:spPr>
            <a:xfrm rot="7568739" flipH="1">
              <a:off x="12029448" y="6742073"/>
              <a:ext cx="383786" cy="1118142"/>
            </a:xfrm>
            <a:prstGeom prst="line">
              <a:avLst/>
            </a:prstGeom>
            <a:ln w="9525">
              <a:solidFill>
                <a:srgbClr val="3D3F5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2" name="Oval 225">
              <a:extLst>
                <a:ext uri="{FF2B5EF4-FFF2-40B4-BE49-F238E27FC236}">
                  <a16:creationId xmlns:a16="http://schemas.microsoft.com/office/drawing/2014/main" id="{F880A116-1DA6-31ED-D43B-E21EA123E424}"/>
                </a:ext>
              </a:extLst>
            </xdr:cNvPr>
            <xdr:cNvSpPr>
              <a:spLocks/>
            </xdr:cNvSpPr>
          </xdr:nvSpPr>
          <xdr:spPr>
            <a:xfrm rot="20402204">
              <a:off x="11578182" y="6505474"/>
              <a:ext cx="472211" cy="448703"/>
            </a:xfrm>
            <a:prstGeom prst="ellipse">
              <a:avLst/>
            </a:prstGeom>
            <a:solidFill>
              <a:srgbClr val="222A35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</xdr:grpSp>
      <xdr:sp macro="" textlink="Tabelas!P28">
        <xdr:nvSpPr>
          <xdr:cNvPr id="257" name="CaixaDeTexto 256">
            <a:extLst>
              <a:ext uri="{FF2B5EF4-FFF2-40B4-BE49-F238E27FC236}">
                <a16:creationId xmlns:a16="http://schemas.microsoft.com/office/drawing/2014/main" id="{8A20BE5C-B1DD-729A-F257-35EC62CF8111}"/>
              </a:ext>
            </a:extLst>
          </xdr:cNvPr>
          <xdr:cNvSpPr txBox="1"/>
        </xdr:nvSpPr>
        <xdr:spPr>
          <a:xfrm>
            <a:off x="4860941" y="4035623"/>
            <a:ext cx="566242" cy="37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44F286DE-706A-A24A-9DDF-3BE0694EBDBD}" type="TxLink">
              <a:rPr lang="en-US" sz="11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rPr>
              <a:pPr marL="0" indent="0" algn="ctr"/>
              <a:t>0%</a:t>
            </a:fld>
            <a:endParaRPr lang="pt-BR" sz="11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endParaRPr>
          </a:p>
        </xdr:txBody>
      </xdr:sp>
      <xdr:grpSp>
        <xdr:nvGrpSpPr>
          <xdr:cNvPr id="258" name="Agrupar 257">
            <a:extLst>
              <a:ext uri="{FF2B5EF4-FFF2-40B4-BE49-F238E27FC236}">
                <a16:creationId xmlns:a16="http://schemas.microsoft.com/office/drawing/2014/main" id="{7E429429-FB69-4FDF-C891-4B356574B212}"/>
              </a:ext>
            </a:extLst>
          </xdr:cNvPr>
          <xdr:cNvGrpSpPr/>
        </xdr:nvGrpSpPr>
        <xdr:grpSpPr>
          <a:xfrm>
            <a:off x="4411356" y="4574249"/>
            <a:ext cx="1385711" cy="461518"/>
            <a:chOff x="16367700" y="5201492"/>
            <a:chExt cx="1399822" cy="449523"/>
          </a:xfrm>
        </xdr:grpSpPr>
        <xdr:sp macro="" textlink="Personalização!B9">
          <xdr:nvSpPr>
            <xdr:cNvPr id="259" name="CaixaDeTexto 258">
              <a:extLst>
                <a:ext uri="{FF2B5EF4-FFF2-40B4-BE49-F238E27FC236}">
                  <a16:creationId xmlns:a16="http://schemas.microsoft.com/office/drawing/2014/main" id="{7BE434BE-57F5-AB6C-AC4B-7C93EFBC5868}"/>
                </a:ext>
              </a:extLst>
            </xdr:cNvPr>
            <xdr:cNvSpPr txBox="1"/>
          </xdr:nvSpPr>
          <xdr:spPr>
            <a:xfrm>
              <a:off x="16484905" y="5201492"/>
              <a:ext cx="1195984" cy="21444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64FA10FE-BACF-594E-8E6C-6A636E83BA85}" type="TxLink">
                <a:rPr lang="en-US" sz="9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Luz</a:t>
              </a:fld>
              <a:endParaRPr lang="pt-BR" sz="90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  <xdr:sp macro="" textlink="Tabelas!O28">
          <xdr:nvSpPr>
            <xdr:cNvPr id="260" name="CaixaDeTexto 259">
              <a:extLst>
                <a:ext uri="{FF2B5EF4-FFF2-40B4-BE49-F238E27FC236}">
                  <a16:creationId xmlns:a16="http://schemas.microsoft.com/office/drawing/2014/main" id="{334A4D34-8CA2-0119-5EE5-45AE75908BB9}"/>
                </a:ext>
              </a:extLst>
            </xdr:cNvPr>
            <xdr:cNvSpPr txBox="1"/>
          </xdr:nvSpPr>
          <xdr:spPr>
            <a:xfrm>
              <a:off x="16367700" y="5381595"/>
              <a:ext cx="1399822" cy="2694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BE702977-8218-2D47-A827-F18072C69714}" type="TxLink">
                <a:rPr lang="en-US" sz="11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ctr"/>
                <a:t> -   </a:t>
              </a:fld>
              <a:endParaRPr lang="pt-BR" sz="1050" b="0" i="0" u="none" strike="noStrike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Calibri"/>
              </a:endParaRPr>
            </a:p>
          </xdr:txBody>
        </xdr:sp>
      </xdr:grpSp>
    </xdr:grpSp>
    <xdr:clientData/>
  </xdr:twoCellAnchor>
  <xdr:twoCellAnchor>
    <xdr:from>
      <xdr:col>15</xdr:col>
      <xdr:colOff>50800</xdr:colOff>
      <xdr:row>37</xdr:row>
      <xdr:rowOff>50800</xdr:rowOff>
    </xdr:from>
    <xdr:to>
      <xdr:col>15</xdr:col>
      <xdr:colOff>535432</xdr:colOff>
      <xdr:row>40</xdr:row>
      <xdr:rowOff>97592</xdr:rowOff>
    </xdr:to>
    <xdr:sp macro="" textlink="">
      <xdr:nvSpPr>
        <xdr:cNvPr id="263" name="Rosca 132">
          <a:extLst>
            <a:ext uri="{FF2B5EF4-FFF2-40B4-BE49-F238E27FC236}">
              <a16:creationId xmlns:a16="http://schemas.microsoft.com/office/drawing/2014/main" id="{BFE7ABAE-C343-4229-93CB-C0B6FDF8E87D}"/>
            </a:ext>
          </a:extLst>
        </xdr:cNvPr>
        <xdr:cNvSpPr>
          <a:spLocks noChangeAspect="1"/>
        </xdr:cNvSpPr>
      </xdr:nvSpPr>
      <xdr:spPr>
        <a:xfrm>
          <a:off x="12433300" y="6787092"/>
          <a:ext cx="484632" cy="486000"/>
        </a:xfrm>
        <a:prstGeom prst="donut">
          <a:avLst>
            <a:gd name="adj" fmla="val 8941"/>
          </a:avLst>
        </a:prstGeom>
        <a:solidFill>
          <a:srgbClr val="9BF8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165100</xdr:colOff>
      <xdr:row>13</xdr:row>
      <xdr:rowOff>12700</xdr:rowOff>
    </xdr:from>
    <xdr:to>
      <xdr:col>5</xdr:col>
      <xdr:colOff>15521</xdr:colOff>
      <xdr:row>28</xdr:row>
      <xdr:rowOff>63500</xdr:rowOff>
    </xdr:to>
    <xdr:grpSp>
      <xdr:nvGrpSpPr>
        <xdr:cNvPr id="264" name="Agrupar 263">
          <a:extLst>
            <a:ext uri="{FF2B5EF4-FFF2-40B4-BE49-F238E27FC236}">
              <a16:creationId xmlns:a16="http://schemas.microsoft.com/office/drawing/2014/main" id="{1288F43A-2221-4E43-8A5D-46C287353CEA}"/>
            </a:ext>
          </a:extLst>
        </xdr:cNvPr>
        <xdr:cNvGrpSpPr/>
      </xdr:nvGrpSpPr>
      <xdr:grpSpPr>
        <a:xfrm>
          <a:off x="165100" y="2489200"/>
          <a:ext cx="4348338" cy="2908300"/>
          <a:chOff x="165100" y="3187700"/>
          <a:chExt cx="3977921" cy="3098800"/>
        </a:xfrm>
      </xdr:grpSpPr>
      <xdr:grpSp>
        <xdr:nvGrpSpPr>
          <xdr:cNvPr id="265" name="Agrupar 264">
            <a:extLst>
              <a:ext uri="{FF2B5EF4-FFF2-40B4-BE49-F238E27FC236}">
                <a16:creationId xmlns:a16="http://schemas.microsoft.com/office/drawing/2014/main" id="{8EA9C7D2-239A-FB9B-BDEE-25C2590A27DC}"/>
              </a:ext>
            </a:extLst>
          </xdr:cNvPr>
          <xdr:cNvGrpSpPr/>
        </xdr:nvGrpSpPr>
        <xdr:grpSpPr>
          <a:xfrm>
            <a:off x="187677" y="3187700"/>
            <a:ext cx="3955344" cy="1492067"/>
            <a:chOff x="187677" y="3102925"/>
            <a:chExt cx="3990622" cy="1451419"/>
          </a:xfrm>
        </xdr:grpSpPr>
        <xdr:sp macro="" textlink="">
          <xdr:nvSpPr>
            <xdr:cNvPr id="267" name="CaixaDeTexto 266">
              <a:extLst>
                <a:ext uri="{FF2B5EF4-FFF2-40B4-BE49-F238E27FC236}">
                  <a16:creationId xmlns:a16="http://schemas.microsoft.com/office/drawing/2014/main" id="{4E0C9104-ACDF-C847-B3D9-60013A8013BD}"/>
                </a:ext>
              </a:extLst>
            </xdr:cNvPr>
            <xdr:cNvSpPr txBox="1"/>
          </xdr:nvSpPr>
          <xdr:spPr>
            <a:xfrm>
              <a:off x="417905" y="3102925"/>
              <a:ext cx="3760394" cy="3705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r>
                <a:rPr lang="pt-BR" sz="2800">
                  <a:solidFill>
                    <a:schemeClr val="bg1"/>
                  </a:solidFill>
                  <a:latin typeface="Avenir Book" panose="02000503020000020003" pitchFamily="2" charset="0"/>
                </a:rPr>
                <a:t>Receita</a:t>
              </a:r>
            </a:p>
          </xdr:txBody>
        </xdr:sp>
        <xdr:sp macro="" textlink="Tabelas!C21">
          <xdr:nvSpPr>
            <xdr:cNvPr id="268" name="CaixaDeTexto 267">
              <a:extLst>
                <a:ext uri="{FF2B5EF4-FFF2-40B4-BE49-F238E27FC236}">
                  <a16:creationId xmlns:a16="http://schemas.microsoft.com/office/drawing/2014/main" id="{11E01073-358B-F8E7-AA9B-A15B459E7E26}"/>
                </a:ext>
              </a:extLst>
            </xdr:cNvPr>
            <xdr:cNvSpPr txBox="1"/>
          </xdr:nvSpPr>
          <xdr:spPr>
            <a:xfrm>
              <a:off x="187677" y="3448786"/>
              <a:ext cx="3376680" cy="7535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l"/>
              <a:fld id="{DB35DB0B-ED88-E44A-A91B-39BEEB48BFFE}" type="TxLink">
                <a:rPr lang="en-US" sz="44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cs typeface="Calibri"/>
                </a:rPr>
                <a:pPr algn="l"/>
                <a:t> 2.000,00 </a:t>
              </a:fld>
              <a:endParaRPr lang="pt-BR" sz="4400">
                <a:solidFill>
                  <a:schemeClr val="bg1"/>
                </a:solidFill>
                <a:latin typeface="Avenir Book" panose="02000503020000020003" pitchFamily="2" charset="0"/>
              </a:endParaRPr>
            </a:p>
          </xdr:txBody>
        </xdr:sp>
        <xdr:sp macro="" textlink="">
          <xdr:nvSpPr>
            <xdr:cNvPr id="269" name="CaixaDeTexto 268">
              <a:extLst>
                <a:ext uri="{FF2B5EF4-FFF2-40B4-BE49-F238E27FC236}">
                  <a16:creationId xmlns:a16="http://schemas.microsoft.com/office/drawing/2014/main" id="{34998C3F-F058-7069-2830-A472088780D9}"/>
                </a:ext>
              </a:extLst>
            </xdr:cNvPr>
            <xdr:cNvSpPr txBox="1"/>
          </xdr:nvSpPr>
          <xdr:spPr>
            <a:xfrm>
              <a:off x="523669" y="4183765"/>
              <a:ext cx="1262609" cy="3705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r>
                <a:rPr lang="pt-BR" sz="1400">
                  <a:solidFill>
                    <a:schemeClr val="bg1"/>
                  </a:solidFill>
                  <a:latin typeface="Avenir Book" panose="02000503020000020003" pitchFamily="2" charset="0"/>
                </a:rPr>
                <a:t>Gasto</a:t>
              </a:r>
              <a:r>
                <a:rPr lang="pt-BR" sz="1400" baseline="0">
                  <a:solidFill>
                    <a:schemeClr val="bg1"/>
                  </a:solidFill>
                  <a:latin typeface="Avenir Book" panose="02000503020000020003" pitchFamily="2" charset="0"/>
                </a:rPr>
                <a:t> Total</a:t>
              </a:r>
              <a:endParaRPr lang="pt-BR" sz="1400">
                <a:solidFill>
                  <a:schemeClr val="bg1"/>
                </a:solidFill>
                <a:latin typeface="Avenir Book" panose="02000503020000020003" pitchFamily="2" charset="0"/>
              </a:endParaRPr>
            </a:p>
          </xdr:txBody>
        </xdr:sp>
        <xdr:sp macro="" textlink="Tabelas!C32">
          <xdr:nvSpPr>
            <xdr:cNvPr id="270" name="CaixaDeTexto 269">
              <a:extLst>
                <a:ext uri="{FF2B5EF4-FFF2-40B4-BE49-F238E27FC236}">
                  <a16:creationId xmlns:a16="http://schemas.microsoft.com/office/drawing/2014/main" id="{AB5F5F62-095C-39E2-3696-2966B8621B9A}"/>
                </a:ext>
              </a:extLst>
            </xdr:cNvPr>
            <xdr:cNvSpPr txBox="1"/>
          </xdr:nvSpPr>
          <xdr:spPr>
            <a:xfrm>
              <a:off x="1715304" y="4183765"/>
              <a:ext cx="1608610" cy="37057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49859857-36E4-E341-8823-3E476295181B}" type="TxLink">
                <a:rPr lang="en-US" sz="1400" b="0" i="0" u="none" strike="noStrike">
                  <a:solidFill>
                    <a:schemeClr val="bg1"/>
                  </a:solidFill>
                  <a:latin typeface="Avenir Book" panose="02000503020000020003" pitchFamily="2" charset="0"/>
                  <a:ea typeface="+mn-ea"/>
                  <a:cs typeface="Calibri"/>
                </a:rPr>
                <a:pPr marL="0" indent="0" algn="r"/>
                <a:t> -   </a:t>
              </a:fld>
              <a:endParaRPr lang="pt-BR" sz="2400">
                <a:solidFill>
                  <a:schemeClr val="bg1"/>
                </a:solidFill>
                <a:latin typeface="Avenir Book" panose="02000503020000020003" pitchFamily="2" charset="0"/>
                <a:ea typeface="+mn-ea"/>
                <a:cs typeface="+mn-cs"/>
              </a:endParaRPr>
            </a:p>
          </xdr:txBody>
        </xdr:sp>
      </xdr:grpSp>
      <xdr:graphicFrame macro="">
        <xdr:nvGraphicFramePr>
          <xdr:cNvPr id="266" name="Gráfico 265">
            <a:extLst>
              <a:ext uri="{FF2B5EF4-FFF2-40B4-BE49-F238E27FC236}">
                <a16:creationId xmlns:a16="http://schemas.microsoft.com/office/drawing/2014/main" id="{A0AAF3B6-08BB-A2FD-2A94-8161E2A6F97F}"/>
              </a:ext>
            </a:extLst>
          </xdr:cNvPr>
          <xdr:cNvGraphicFramePr>
            <a:graphicFrameLocks/>
          </xdr:cNvGraphicFramePr>
        </xdr:nvGraphicFramePr>
        <xdr:xfrm>
          <a:off x="165100" y="5092700"/>
          <a:ext cx="3467100" cy="11938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0</xdr:col>
      <xdr:colOff>533400</xdr:colOff>
      <xdr:row>20</xdr:row>
      <xdr:rowOff>31750</xdr:rowOff>
    </xdr:from>
    <xdr:to>
      <xdr:col>2</xdr:col>
      <xdr:colOff>86322</xdr:colOff>
      <xdr:row>22</xdr:row>
      <xdr:rowOff>6307</xdr:rowOff>
    </xdr:to>
    <xdr:sp macro="" textlink="">
      <xdr:nvSpPr>
        <xdr:cNvPr id="271" name="CaixaDeTexto 270">
          <a:extLst>
            <a:ext uri="{FF2B5EF4-FFF2-40B4-BE49-F238E27FC236}">
              <a16:creationId xmlns:a16="http://schemas.microsoft.com/office/drawing/2014/main" id="{05A20DA8-FBFC-47E7-83D3-E3B2F0861B01}"/>
            </a:ext>
          </a:extLst>
        </xdr:cNvPr>
        <xdr:cNvSpPr txBox="1"/>
      </xdr:nvSpPr>
      <xdr:spPr>
        <a:xfrm>
          <a:off x="533400" y="4029075"/>
          <a:ext cx="1207097" cy="3809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Saldo</a:t>
          </a:r>
        </a:p>
      </xdr:txBody>
    </xdr:sp>
    <xdr:clientData/>
  </xdr:twoCellAnchor>
  <xdr:twoCellAnchor>
    <xdr:from>
      <xdr:col>1</xdr:col>
      <xdr:colOff>812800</xdr:colOff>
      <xdr:row>20</xdr:row>
      <xdr:rowOff>31750</xdr:rowOff>
    </xdr:from>
    <xdr:to>
      <xdr:col>3</xdr:col>
      <xdr:colOff>846667</xdr:colOff>
      <xdr:row>22</xdr:row>
      <xdr:rowOff>6307</xdr:rowOff>
    </xdr:to>
    <xdr:sp macro="" textlink="Tabelas!C31">
      <xdr:nvSpPr>
        <xdr:cNvPr id="272" name="CaixaDeTexto 271">
          <a:extLst>
            <a:ext uri="{FF2B5EF4-FFF2-40B4-BE49-F238E27FC236}">
              <a16:creationId xmlns:a16="http://schemas.microsoft.com/office/drawing/2014/main" id="{B3CCB8D7-185D-4D62-B717-C19008BB7A85}"/>
            </a:ext>
          </a:extLst>
        </xdr:cNvPr>
        <xdr:cNvSpPr txBox="1"/>
      </xdr:nvSpPr>
      <xdr:spPr>
        <a:xfrm>
          <a:off x="1712383" y="3841750"/>
          <a:ext cx="1833034" cy="355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78C31F3-608A-3240-9A27-C892C466E62D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ea typeface="+mn-ea"/>
              <a:cs typeface="Calibri"/>
            </a:rPr>
            <a:pPr marL="0" indent="0" algn="r"/>
            <a:t>2.000,00</a:t>
          </a:fld>
          <a:endParaRPr lang="pt-BR" sz="3600">
            <a:solidFill>
              <a:schemeClr val="bg1"/>
            </a:solidFill>
            <a:latin typeface="Avenir Book" panose="02000503020000020003" pitchFamily="2" charset="0"/>
            <a:ea typeface="+mn-ea"/>
            <a:cs typeface="+mn-cs"/>
          </a:endParaRPr>
        </a:p>
      </xdr:txBody>
    </xdr:sp>
    <xdr:clientData/>
  </xdr:twoCellAnchor>
  <xdr:twoCellAnchor>
    <xdr:from>
      <xdr:col>19</xdr:col>
      <xdr:colOff>120650</xdr:colOff>
      <xdr:row>23</xdr:row>
      <xdr:rowOff>165100</xdr:rowOff>
    </xdr:from>
    <xdr:to>
      <xdr:col>21</xdr:col>
      <xdr:colOff>361950</xdr:colOff>
      <xdr:row>39</xdr:row>
      <xdr:rowOff>0</xdr:rowOff>
    </xdr:to>
    <xdr:grpSp>
      <xdr:nvGrpSpPr>
        <xdr:cNvPr id="273" name="Agrupar 272">
          <a:extLst>
            <a:ext uri="{FF2B5EF4-FFF2-40B4-BE49-F238E27FC236}">
              <a16:creationId xmlns:a16="http://schemas.microsoft.com/office/drawing/2014/main" id="{59922CCF-884E-4BC6-8570-6A63F148D31D}"/>
            </a:ext>
          </a:extLst>
        </xdr:cNvPr>
        <xdr:cNvGrpSpPr/>
      </xdr:nvGrpSpPr>
      <xdr:grpSpPr>
        <a:xfrm>
          <a:off x="17212733" y="4546600"/>
          <a:ext cx="2040467" cy="2692400"/>
          <a:chOff x="16243300" y="4838700"/>
          <a:chExt cx="1892300" cy="2844800"/>
        </a:xfrm>
      </xdr:grpSpPr>
      <xdr:sp macro="" textlink="">
        <xdr:nvSpPr>
          <xdr:cNvPr id="274" name="Retângulo Arredondado 245">
            <a:extLst>
              <a:ext uri="{FF2B5EF4-FFF2-40B4-BE49-F238E27FC236}">
                <a16:creationId xmlns:a16="http://schemas.microsoft.com/office/drawing/2014/main" id="{E7D5314D-7D3B-134E-514F-5F8D98C7C8BD}"/>
              </a:ext>
            </a:extLst>
          </xdr:cNvPr>
          <xdr:cNvSpPr/>
        </xdr:nvSpPr>
        <xdr:spPr>
          <a:xfrm>
            <a:off x="16243300" y="4838700"/>
            <a:ext cx="1892300" cy="2844800"/>
          </a:xfrm>
          <a:prstGeom prst="roundRect">
            <a:avLst>
              <a:gd name="adj" fmla="val 7466"/>
            </a:avLst>
          </a:prstGeom>
          <a:solidFill>
            <a:srgbClr val="070E25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graphicFrame macro="">
        <xdr:nvGraphicFramePr>
          <xdr:cNvPr id="275" name="Gráfico 274">
            <a:extLst>
              <a:ext uri="{FF2B5EF4-FFF2-40B4-BE49-F238E27FC236}">
                <a16:creationId xmlns:a16="http://schemas.microsoft.com/office/drawing/2014/main" id="{395A5FA9-3793-47B0-074F-4902D151EF87}"/>
              </a:ext>
            </a:extLst>
          </xdr:cNvPr>
          <xdr:cNvGraphicFramePr>
            <a:graphicFrameLocks/>
          </xdr:cNvGraphicFramePr>
        </xdr:nvGraphicFramePr>
        <xdr:xfrm>
          <a:off x="16243300" y="5314950"/>
          <a:ext cx="1854200" cy="23241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sp macro="" textlink="">
        <xdr:nvSpPr>
          <xdr:cNvPr id="276" name="CaixaDeTexto 275">
            <a:extLst>
              <a:ext uri="{FF2B5EF4-FFF2-40B4-BE49-F238E27FC236}">
                <a16:creationId xmlns:a16="http://schemas.microsoft.com/office/drawing/2014/main" id="{2EEC2F20-77AE-3CBA-5EB8-9329CE28623D}"/>
              </a:ext>
            </a:extLst>
          </xdr:cNvPr>
          <xdr:cNvSpPr txBox="1"/>
        </xdr:nvSpPr>
        <xdr:spPr>
          <a:xfrm>
            <a:off x="16459200" y="4897878"/>
            <a:ext cx="1409700" cy="5420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Saldo</a:t>
            </a:r>
            <a:r>
              <a:rPr lang="pt-BR" sz="1200" baseline="0">
                <a:solidFill>
                  <a:schemeClr val="bg1"/>
                </a:solidFill>
                <a:latin typeface="Avenir Book" panose="02000503020000020003" pitchFamily="2" charset="0"/>
              </a:rPr>
              <a:t> Semestre</a:t>
            </a:r>
            <a:endParaRPr lang="pt-BR" sz="1200">
              <a:solidFill>
                <a:schemeClr val="bg1"/>
              </a:solidFill>
              <a:latin typeface="Avenir Book" panose="02000503020000020003" pitchFamily="2" charset="0"/>
            </a:endParaRPr>
          </a:p>
        </xdr:txBody>
      </xdr:sp>
    </xdr:grpSp>
    <xdr:clientData/>
  </xdr:twoCellAnchor>
  <xdr:twoCellAnchor>
    <xdr:from>
      <xdr:col>19</xdr:col>
      <xdr:colOff>508770</xdr:colOff>
      <xdr:row>8</xdr:row>
      <xdr:rowOff>76200</xdr:rowOff>
    </xdr:from>
    <xdr:to>
      <xdr:col>20</xdr:col>
      <xdr:colOff>799330</xdr:colOff>
      <xdr:row>10</xdr:row>
      <xdr:rowOff>6000</xdr:rowOff>
    </xdr:to>
    <xdr:sp macro="" textlink="Tabelas!F40">
      <xdr:nvSpPr>
        <xdr:cNvPr id="277" name="CaixaDeTexto 276">
          <a:extLst>
            <a:ext uri="{FF2B5EF4-FFF2-40B4-BE49-F238E27FC236}">
              <a16:creationId xmlns:a16="http://schemas.microsoft.com/office/drawing/2014/main" id="{E2548732-52AE-4AE9-94FC-C9A240D9BAFD}"/>
            </a:ext>
          </a:extLst>
        </xdr:cNvPr>
        <xdr:cNvSpPr txBox="1"/>
      </xdr:nvSpPr>
      <xdr:spPr>
        <a:xfrm>
          <a:off x="16250420" y="1676400"/>
          <a:ext cx="1122410" cy="333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21DA1BE-E393-DF43-8D11-ACB9CC3AD331}" type="TxLink">
            <a:rPr lang="en-US" sz="1600" b="0" i="0" u="none" strike="noStrike">
              <a:solidFill>
                <a:schemeClr val="bg1"/>
              </a:solidFill>
              <a:latin typeface="Avenir Book" panose="02000503020000020003" pitchFamily="2" charset="0"/>
              <a:ea typeface="Avenir Book" charset="0"/>
              <a:cs typeface="Calibri"/>
            </a:rPr>
            <a:pPr algn="ctr"/>
            <a:t>0,00</a:t>
          </a:fld>
          <a:endParaRPr lang="pt-BR" sz="3600">
            <a:solidFill>
              <a:schemeClr val="bg1"/>
            </a:solidFill>
            <a:latin typeface="Avenir Book" panose="02000503020000020003" pitchFamily="2" charset="0"/>
            <a:ea typeface="Avenir Book" charset="0"/>
            <a:cs typeface="Avenir Book" charset="0"/>
          </a:endParaRPr>
        </a:p>
      </xdr:txBody>
    </xdr:sp>
    <xdr:clientData/>
  </xdr:twoCellAnchor>
  <xdr:twoCellAnchor>
    <xdr:from>
      <xdr:col>6</xdr:col>
      <xdr:colOff>492329</xdr:colOff>
      <xdr:row>12</xdr:row>
      <xdr:rowOff>42289</xdr:rowOff>
    </xdr:from>
    <xdr:to>
      <xdr:col>7</xdr:col>
      <xdr:colOff>152829</xdr:colOff>
      <xdr:row>14</xdr:row>
      <xdr:rowOff>157872</xdr:rowOff>
    </xdr:to>
    <xdr:sp macro="" textlink="">
      <xdr:nvSpPr>
        <xdr:cNvPr id="280" name="Rosca 151">
          <a:extLst>
            <a:ext uri="{FF2B5EF4-FFF2-40B4-BE49-F238E27FC236}">
              <a16:creationId xmlns:a16="http://schemas.microsoft.com/office/drawing/2014/main" id="{779C525C-A95E-7F1B-0F4C-211D19BC07F8}"/>
            </a:ext>
          </a:extLst>
        </xdr:cNvPr>
        <xdr:cNvSpPr>
          <a:spLocks/>
        </xdr:cNvSpPr>
      </xdr:nvSpPr>
      <xdr:spPr>
        <a:xfrm rot="12239601">
          <a:off x="5445329" y="2264789"/>
          <a:ext cx="486000" cy="486000"/>
        </a:xfrm>
        <a:prstGeom prst="donut">
          <a:avLst>
            <a:gd name="adj" fmla="val 8941"/>
          </a:avLst>
        </a:prstGeom>
        <a:solidFill>
          <a:srgbClr val="9BF8F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286773</xdr:colOff>
      <xdr:row>2</xdr:row>
      <xdr:rowOff>78233</xdr:rowOff>
    </xdr:from>
    <xdr:to>
      <xdr:col>2</xdr:col>
      <xdr:colOff>369603</xdr:colOff>
      <xdr:row>5</xdr:row>
      <xdr:rowOff>15964</xdr:rowOff>
    </xdr:to>
    <xdr:grpSp>
      <xdr:nvGrpSpPr>
        <xdr:cNvPr id="24" name="Agrupar 23">
          <a:extLst>
            <a:ext uri="{FF2B5EF4-FFF2-40B4-BE49-F238E27FC236}">
              <a16:creationId xmlns:a16="http://schemas.microsoft.com/office/drawing/2014/main" id="{3F07839A-E86A-F8FE-E410-55A2DB47360D}"/>
            </a:ext>
          </a:extLst>
        </xdr:cNvPr>
        <xdr:cNvGrpSpPr/>
      </xdr:nvGrpSpPr>
      <xdr:grpSpPr>
        <a:xfrm>
          <a:off x="286773" y="459233"/>
          <a:ext cx="1881997" cy="509231"/>
          <a:chOff x="286773" y="460599"/>
          <a:chExt cx="1885411" cy="511279"/>
        </a:xfrm>
      </xdr:grpSpPr>
      <xdr:pic>
        <xdr:nvPicPr>
          <xdr:cNvPr id="282" name="Imagem 281">
            <a:extLst>
              <a:ext uri="{FF2B5EF4-FFF2-40B4-BE49-F238E27FC236}">
                <a16:creationId xmlns:a16="http://schemas.microsoft.com/office/drawing/2014/main" id="{188BE267-D18B-2379-0519-AE2CD5716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6773" y="497418"/>
            <a:ext cx="450395" cy="422491"/>
          </a:xfrm>
          <a:prstGeom prst="rect">
            <a:avLst/>
          </a:prstGeom>
        </xdr:spPr>
      </xdr:pic>
      <xdr:sp macro="[0]!RelatorioIA" textlink="">
        <xdr:nvSpPr>
          <xdr:cNvPr id="283" name="CaixaDeTexto 282">
            <a:extLst>
              <a:ext uri="{FF2B5EF4-FFF2-40B4-BE49-F238E27FC236}">
                <a16:creationId xmlns:a16="http://schemas.microsoft.com/office/drawing/2014/main" id="{AAAEA9CD-E69F-411D-9633-F22DC899AC47}"/>
              </a:ext>
            </a:extLst>
          </xdr:cNvPr>
          <xdr:cNvSpPr txBox="1"/>
        </xdr:nvSpPr>
        <xdr:spPr>
          <a:xfrm>
            <a:off x="634777" y="460599"/>
            <a:ext cx="1537407" cy="51127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200">
                <a:solidFill>
                  <a:schemeClr val="bg1"/>
                </a:solidFill>
                <a:latin typeface="Avenir Book" panose="02000503020000020003" pitchFamily="2" charset="0"/>
              </a:rPr>
              <a:t>Relatório para IA</a:t>
            </a:r>
          </a:p>
        </xdr:txBody>
      </xdr:sp>
    </xdr:grpSp>
    <xdr:clientData/>
  </xdr:twoCellAnchor>
  <xdr:twoCellAnchor editAs="oneCell">
    <xdr:from>
      <xdr:col>0</xdr:col>
      <xdr:colOff>173870</xdr:colOff>
      <xdr:row>7</xdr:row>
      <xdr:rowOff>149359</xdr:rowOff>
    </xdr:from>
    <xdr:to>
      <xdr:col>4</xdr:col>
      <xdr:colOff>74080</xdr:colOff>
      <xdr:row>11</xdr:row>
      <xdr:rowOff>132290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84" name="Mês 1">
              <a:extLst>
                <a:ext uri="{FF2B5EF4-FFF2-40B4-BE49-F238E27FC236}">
                  <a16:creationId xmlns:a16="http://schemas.microsoft.com/office/drawing/2014/main" id="{F969734B-1DCD-458F-9050-F4FC2E1F05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73870" y="1445817"/>
              <a:ext cx="3202210" cy="72376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7</xdr:col>
      <xdr:colOff>474518</xdr:colOff>
      <xdr:row>13</xdr:row>
      <xdr:rowOff>66963</xdr:rowOff>
    </xdr:from>
    <xdr:to>
      <xdr:col>13</xdr:col>
      <xdr:colOff>109847</xdr:colOff>
      <xdr:row>36</xdr:row>
      <xdr:rowOff>117702</xdr:rowOff>
    </xdr:to>
    <xdr:grpSp>
      <xdr:nvGrpSpPr>
        <xdr:cNvPr id="59" name="Agrupar 58">
          <a:extLst>
            <a:ext uri="{FF2B5EF4-FFF2-40B4-BE49-F238E27FC236}">
              <a16:creationId xmlns:a16="http://schemas.microsoft.com/office/drawing/2014/main" id="{B98D85F7-6757-4B4E-0CD5-0CB2E5AF51F7}"/>
            </a:ext>
          </a:extLst>
        </xdr:cNvPr>
        <xdr:cNvGrpSpPr/>
      </xdr:nvGrpSpPr>
      <xdr:grpSpPr>
        <a:xfrm>
          <a:off x="6771601" y="2543463"/>
          <a:ext cx="5032829" cy="4305239"/>
          <a:chOff x="6811818" y="2581563"/>
          <a:chExt cx="5045529" cy="4305239"/>
        </a:xfrm>
      </xdr:grpSpPr>
      <xdr:graphicFrame macro="">
        <xdr:nvGraphicFramePr>
          <xdr:cNvPr id="289" name="Gráfico 288">
            <a:extLst>
              <a:ext uri="{FF2B5EF4-FFF2-40B4-BE49-F238E27FC236}">
                <a16:creationId xmlns:a16="http://schemas.microsoft.com/office/drawing/2014/main" id="{1B32F4BD-97E0-D21C-F272-B6746F53CD73}"/>
              </a:ext>
            </a:extLst>
          </xdr:cNvPr>
          <xdr:cNvGraphicFramePr>
            <a:graphicFrameLocks/>
          </xdr:cNvGraphicFramePr>
        </xdr:nvGraphicFramePr>
        <xdr:xfrm>
          <a:off x="6811818" y="2581563"/>
          <a:ext cx="5045529" cy="430523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pSp>
        <xdr:nvGrpSpPr>
          <xdr:cNvPr id="290" name="Agrupar 289">
            <a:extLst>
              <a:ext uri="{FF2B5EF4-FFF2-40B4-BE49-F238E27FC236}">
                <a16:creationId xmlns:a16="http://schemas.microsoft.com/office/drawing/2014/main" id="{74831E4C-03C8-6C2D-2704-4259059D1C7A}"/>
              </a:ext>
            </a:extLst>
          </xdr:cNvPr>
          <xdr:cNvGrpSpPr/>
        </xdr:nvGrpSpPr>
        <xdr:grpSpPr>
          <a:xfrm>
            <a:off x="7850062" y="3348413"/>
            <a:ext cx="2969039" cy="2771538"/>
            <a:chOff x="13356669" y="7846415"/>
            <a:chExt cx="2690393" cy="2862270"/>
          </a:xfrm>
        </xdr:grpSpPr>
        <xdr:sp macro="" textlink="">
          <xdr:nvSpPr>
            <xdr:cNvPr id="291" name="Oval 58">
              <a:extLst>
                <a:ext uri="{FF2B5EF4-FFF2-40B4-BE49-F238E27FC236}">
                  <a16:creationId xmlns:a16="http://schemas.microsoft.com/office/drawing/2014/main" id="{59654C4C-797D-4DC0-1E7D-DB9A0C24A65F}"/>
                </a:ext>
              </a:extLst>
            </xdr:cNvPr>
            <xdr:cNvSpPr>
              <a:spLocks noChangeAspect="1"/>
            </xdr:cNvSpPr>
          </xdr:nvSpPr>
          <xdr:spPr>
            <a:xfrm>
              <a:off x="13356669" y="7846415"/>
              <a:ext cx="2690393" cy="2862270"/>
            </a:xfrm>
            <a:prstGeom prst="ellipse">
              <a:avLst/>
            </a:prstGeom>
            <a:gradFill>
              <a:gsLst>
                <a:gs pos="24000">
                  <a:srgbClr val="DC25FA">
                    <a:alpha val="20000"/>
                  </a:srgbClr>
                </a:gs>
                <a:gs pos="61000">
                  <a:srgbClr val="9947F7">
                    <a:alpha val="20000"/>
                  </a:srgbClr>
                </a:gs>
              </a:gsLst>
              <a:lin ang="5400000" scaled="0"/>
            </a:gra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grpSp>
          <xdr:nvGrpSpPr>
            <xdr:cNvPr id="292" name="Agrupar 291">
              <a:extLst>
                <a:ext uri="{FF2B5EF4-FFF2-40B4-BE49-F238E27FC236}">
                  <a16:creationId xmlns:a16="http://schemas.microsoft.com/office/drawing/2014/main" id="{34A964FD-ACF6-EA91-EC0D-75FB78640C42}"/>
                </a:ext>
              </a:extLst>
            </xdr:cNvPr>
            <xdr:cNvGrpSpPr/>
          </xdr:nvGrpSpPr>
          <xdr:grpSpPr>
            <a:xfrm>
              <a:off x="13823005" y="8342543"/>
              <a:ext cx="1757722" cy="1870016"/>
              <a:chOff x="16239180" y="8351274"/>
              <a:chExt cx="1757722" cy="1870016"/>
            </a:xfrm>
          </xdr:grpSpPr>
          <xdr:sp macro="" textlink="">
            <xdr:nvSpPr>
              <xdr:cNvPr id="293" name="Oval 57">
                <a:extLst>
                  <a:ext uri="{FF2B5EF4-FFF2-40B4-BE49-F238E27FC236}">
                    <a16:creationId xmlns:a16="http://schemas.microsoft.com/office/drawing/2014/main" id="{77F34F31-C268-88B4-1D2A-1F575C674A84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239180" y="8351274"/>
                <a:ext cx="1757722" cy="1870016"/>
              </a:xfrm>
              <a:prstGeom prst="ellipse">
                <a:avLst/>
              </a:prstGeom>
              <a:gradFill>
                <a:gsLst>
                  <a:gs pos="0">
                    <a:srgbClr val="DC25FA"/>
                  </a:gs>
                  <a:gs pos="61000">
                    <a:srgbClr val="9947F7"/>
                  </a:gs>
                </a:gsLst>
                <a:lin ang="5400000" scaled="0"/>
              </a:gra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sp macro="" textlink="">
            <xdr:nvSpPr>
              <xdr:cNvPr id="294" name="Oval 56">
                <a:extLst>
                  <a:ext uri="{FF2B5EF4-FFF2-40B4-BE49-F238E27FC236}">
                    <a16:creationId xmlns:a16="http://schemas.microsoft.com/office/drawing/2014/main" id="{9DBA47B9-993C-B9A5-63B4-BEB76DD17097}"/>
                  </a:ext>
                </a:extLst>
              </xdr:cNvPr>
              <xdr:cNvSpPr>
                <a:spLocks noChangeAspect="1"/>
              </xdr:cNvSpPr>
            </xdr:nvSpPr>
            <xdr:spPr>
              <a:xfrm>
                <a:off x="16436474" y="8561174"/>
                <a:ext cx="1363132" cy="1450216"/>
              </a:xfrm>
              <a:prstGeom prst="ellipse">
                <a:avLst/>
              </a:prstGeom>
              <a:solidFill>
                <a:schemeClr val="tx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grpSp>
            <xdr:nvGrpSpPr>
              <xdr:cNvPr id="295" name="Agrupar 294">
                <a:extLst>
                  <a:ext uri="{FF2B5EF4-FFF2-40B4-BE49-F238E27FC236}">
                    <a16:creationId xmlns:a16="http://schemas.microsoft.com/office/drawing/2014/main" id="{12E4D56E-5991-EBAA-7A7E-91633356AFEF}"/>
                  </a:ext>
                </a:extLst>
              </xdr:cNvPr>
              <xdr:cNvGrpSpPr/>
            </xdr:nvGrpSpPr>
            <xdr:grpSpPr>
              <a:xfrm>
                <a:off x="16450084" y="8748526"/>
                <a:ext cx="1358900" cy="1090998"/>
                <a:chOff x="9766709" y="3667777"/>
                <a:chExt cx="1358900" cy="1074003"/>
              </a:xfrm>
            </xdr:grpSpPr>
            <xdr:sp macro="" textlink="Tabelas!C33">
              <xdr:nvSpPr>
                <xdr:cNvPr id="296" name="CaixaDeTexto 295">
                  <a:extLst>
                    <a:ext uri="{FF2B5EF4-FFF2-40B4-BE49-F238E27FC236}">
                      <a16:creationId xmlns:a16="http://schemas.microsoft.com/office/drawing/2014/main" id="{0A85616B-0B01-A67B-1074-31395C080AC1}"/>
                    </a:ext>
                  </a:extLst>
                </xdr:cNvPr>
                <xdr:cNvSpPr txBox="1"/>
              </xdr:nvSpPr>
              <xdr:spPr>
                <a:xfrm>
                  <a:off x="9766709" y="3667777"/>
                  <a:ext cx="1358900" cy="7747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fld id="{F0D0378B-E7E3-C242-B777-AB7E48D14350}" type="TxLink">
                    <a:rPr lang="en-US" sz="3200" b="0" i="0" u="none" strike="noStrike">
                      <a:solidFill>
                        <a:schemeClr val="bg1"/>
                      </a:solidFill>
                      <a:latin typeface="Avenir Book" panose="02000503020000020003" pitchFamily="2" charset="0"/>
                      <a:cs typeface="Calibri"/>
                    </a:rPr>
                    <a:pPr algn="ctr"/>
                    <a:t>0%</a:t>
                  </a:fld>
                  <a:endParaRPr lang="pt-BR" sz="3200">
                    <a:solidFill>
                      <a:schemeClr val="bg1"/>
                    </a:solidFill>
                    <a:latin typeface="Avenir Book" panose="02000503020000020003" pitchFamily="2" charset="0"/>
                    <a:cs typeface="Arial" panose="020B0604020202020204" pitchFamily="34" charset="0"/>
                  </a:endParaRPr>
                </a:p>
              </xdr:txBody>
            </xdr:sp>
            <xdr:sp macro="" textlink="">
              <xdr:nvSpPr>
                <xdr:cNvPr id="297" name="CaixaDeTexto 296">
                  <a:extLst>
                    <a:ext uri="{FF2B5EF4-FFF2-40B4-BE49-F238E27FC236}">
                      <a16:creationId xmlns:a16="http://schemas.microsoft.com/office/drawing/2014/main" id="{CE5D2707-A347-61A1-798E-547007CB03B2}"/>
                    </a:ext>
                  </a:extLst>
                </xdr:cNvPr>
                <xdr:cNvSpPr txBox="1"/>
              </xdr:nvSpPr>
              <xdr:spPr>
                <a:xfrm>
                  <a:off x="9799653" y="4214429"/>
                  <a:ext cx="1257300" cy="527351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050">
                      <a:solidFill>
                        <a:schemeClr val="bg1"/>
                      </a:solidFill>
                      <a:latin typeface="Avenir Book" panose="02000503020000020003" pitchFamily="2" charset="0"/>
                    </a:rPr>
                    <a:t>Receita Comprometida</a:t>
                  </a:r>
                </a:p>
              </xdr:txBody>
            </xdr:sp>
          </xdr:grpSp>
        </xdr:grpSp>
      </xdr:grpSp>
    </xdr:grpSp>
    <xdr:clientData/>
  </xdr:twoCellAnchor>
  <xdr:twoCellAnchor>
    <xdr:from>
      <xdr:col>6</xdr:col>
      <xdr:colOff>465667</xdr:colOff>
      <xdr:row>25</xdr:row>
      <xdr:rowOff>105834</xdr:rowOff>
    </xdr:from>
    <xdr:to>
      <xdr:col>9</xdr:col>
      <xdr:colOff>248708</xdr:colOff>
      <xdr:row>31</xdr:row>
      <xdr:rowOff>47625</xdr:rowOff>
    </xdr:to>
    <xdr:cxnSp macro="">
      <xdr:nvCxnSpPr>
        <xdr:cNvPr id="27" name="Conector Reto 26">
          <a:extLst>
            <a:ext uri="{FF2B5EF4-FFF2-40B4-BE49-F238E27FC236}">
              <a16:creationId xmlns:a16="http://schemas.microsoft.com/office/drawing/2014/main" id="{5C3B59FC-C60A-7F4E-B95D-90ADE1760920}"/>
            </a:ext>
          </a:extLst>
        </xdr:cNvPr>
        <xdr:cNvCxnSpPr/>
      </xdr:nvCxnSpPr>
      <xdr:spPr>
        <a:xfrm flipH="1">
          <a:off x="5418667" y="4736042"/>
          <a:ext cx="2259541" cy="1053041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90350</xdr:colOff>
      <xdr:row>28</xdr:row>
      <xdr:rowOff>9563</xdr:rowOff>
    </xdr:from>
    <xdr:to>
      <xdr:col>12</xdr:col>
      <xdr:colOff>622300</xdr:colOff>
      <xdr:row>34</xdr:row>
      <xdr:rowOff>88900</xdr:rowOff>
    </xdr:to>
    <xdr:cxnSp macro="">
      <xdr:nvCxnSpPr>
        <xdr:cNvPr id="29" name="Conector Reto 28">
          <a:extLst>
            <a:ext uri="{FF2B5EF4-FFF2-40B4-BE49-F238E27FC236}">
              <a16:creationId xmlns:a16="http://schemas.microsoft.com/office/drawing/2014/main" id="{AA60A592-BB0B-A746-AEA2-BC52800E82CF}"/>
            </a:ext>
          </a:extLst>
        </xdr:cNvPr>
        <xdr:cNvCxnSpPr>
          <a:stCxn id="293" idx="5"/>
        </xdr:cNvCxnSpPr>
      </xdr:nvCxnSpPr>
      <xdr:spPr>
        <a:xfrm>
          <a:off x="9170850" y="5195396"/>
          <a:ext cx="1357450" cy="1132379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783128</xdr:colOff>
      <xdr:row>15</xdr:row>
      <xdr:rowOff>88900</xdr:rowOff>
    </xdr:from>
    <xdr:to>
      <xdr:col>11</xdr:col>
      <xdr:colOff>749300</xdr:colOff>
      <xdr:row>20</xdr:row>
      <xdr:rowOff>145128</xdr:rowOff>
    </xdr:to>
    <xdr:cxnSp macro="">
      <xdr:nvCxnSpPr>
        <xdr:cNvPr id="31" name="Conector Reto 30">
          <a:extLst>
            <a:ext uri="{FF2B5EF4-FFF2-40B4-BE49-F238E27FC236}">
              <a16:creationId xmlns:a16="http://schemas.microsoft.com/office/drawing/2014/main" id="{3EEADDDF-0C35-924A-9363-6FC0A7B9DF53}"/>
            </a:ext>
          </a:extLst>
        </xdr:cNvPr>
        <xdr:cNvCxnSpPr/>
      </xdr:nvCxnSpPr>
      <xdr:spPr>
        <a:xfrm flipV="1">
          <a:off x="9800128" y="2946400"/>
          <a:ext cx="867872" cy="1008728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215900</xdr:colOff>
      <xdr:row>12</xdr:row>
      <xdr:rowOff>114300</xdr:rowOff>
    </xdr:from>
    <xdr:to>
      <xdr:col>9</xdr:col>
      <xdr:colOff>706928</xdr:colOff>
      <xdr:row>20</xdr:row>
      <xdr:rowOff>119728</xdr:rowOff>
    </xdr:to>
    <xdr:cxnSp macro="">
      <xdr:nvCxnSpPr>
        <xdr:cNvPr id="52" name="Conector Reto 51">
          <a:extLst>
            <a:ext uri="{FF2B5EF4-FFF2-40B4-BE49-F238E27FC236}">
              <a16:creationId xmlns:a16="http://schemas.microsoft.com/office/drawing/2014/main" id="{27C529CD-0645-5344-8C2D-9C9C8CFBBA97}"/>
            </a:ext>
          </a:extLst>
        </xdr:cNvPr>
        <xdr:cNvCxnSpPr/>
      </xdr:nvCxnSpPr>
      <xdr:spPr>
        <a:xfrm flipH="1" flipV="1">
          <a:off x="8331200" y="2400300"/>
          <a:ext cx="491028" cy="1529428"/>
        </a:xfrm>
        <a:prstGeom prst="line">
          <a:avLst/>
        </a:prstGeom>
        <a:ln w="15875">
          <a:gradFill flip="none" rotWithShape="1">
            <a:gsLst>
              <a:gs pos="75000">
                <a:srgbClr val="DC25FA"/>
              </a:gs>
              <a:gs pos="2000">
                <a:srgbClr val="100D83"/>
              </a:gs>
            </a:gsLst>
            <a:lin ang="1080000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288925</xdr:colOff>
      <xdr:row>35</xdr:row>
      <xdr:rowOff>60325</xdr:rowOff>
    </xdr:from>
    <xdr:to>
      <xdr:col>13</xdr:col>
      <xdr:colOff>720725</xdr:colOff>
      <xdr:row>38</xdr:row>
      <xdr:rowOff>104740</xdr:rowOff>
    </xdr:to>
    <xdr:sp macro="" textlink="">
      <xdr:nvSpPr>
        <xdr:cNvPr id="54" name="CaixaDeTexto 53">
          <a:extLst>
            <a:ext uri="{FF2B5EF4-FFF2-40B4-BE49-F238E27FC236}">
              <a16:creationId xmlns:a16="http://schemas.microsoft.com/office/drawing/2014/main" id="{87077351-6017-2141-B93A-8C7F8C2ADA4F}"/>
            </a:ext>
          </a:extLst>
        </xdr:cNvPr>
        <xdr:cNvSpPr txBox="1"/>
      </xdr:nvSpPr>
      <xdr:spPr>
        <a:xfrm>
          <a:off x="11109325" y="6664325"/>
          <a:ext cx="1333500" cy="4889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Investimento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5</xdr:col>
      <xdr:colOff>584199</xdr:colOff>
      <xdr:row>32</xdr:row>
      <xdr:rowOff>152400</xdr:rowOff>
    </xdr:from>
    <xdr:to>
      <xdr:col>6</xdr:col>
      <xdr:colOff>466724</xdr:colOff>
      <xdr:row>34</xdr:row>
      <xdr:rowOff>168240</xdr:rowOff>
    </xdr:to>
    <xdr:sp macro="" textlink="">
      <xdr:nvSpPr>
        <xdr:cNvPr id="55" name="CaixaDeTexto 54">
          <a:extLst>
            <a:ext uri="{FF2B5EF4-FFF2-40B4-BE49-F238E27FC236}">
              <a16:creationId xmlns:a16="http://schemas.microsoft.com/office/drawing/2014/main" id="{B7DFE6F8-BC32-E144-B648-90E54D3F5AB5}"/>
            </a:ext>
          </a:extLst>
        </xdr:cNvPr>
        <xdr:cNvSpPr txBox="1"/>
      </xdr:nvSpPr>
      <xdr:spPr>
        <a:xfrm>
          <a:off x="5092699" y="6248400"/>
          <a:ext cx="784225" cy="3333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900">
              <a:solidFill>
                <a:schemeClr val="bg1"/>
              </a:solidFill>
              <a:latin typeface="Avenir Book" panose="02000503020000020003" pitchFamily="2" charset="0"/>
            </a:rPr>
            <a:t>Outros</a:t>
          </a:r>
          <a:endParaRPr lang="pt-BR" sz="105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5</xdr:col>
      <xdr:colOff>476251</xdr:colOff>
      <xdr:row>31</xdr:row>
      <xdr:rowOff>31750</xdr:rowOff>
    </xdr:from>
    <xdr:to>
      <xdr:col>6</xdr:col>
      <xdr:colOff>560917</xdr:colOff>
      <xdr:row>34</xdr:row>
      <xdr:rowOff>20073</xdr:rowOff>
    </xdr:to>
    <xdr:sp macro="" textlink="Tabelas!M21">
      <xdr:nvSpPr>
        <xdr:cNvPr id="56" name="CaixaDeTexto 55">
          <a:extLst>
            <a:ext uri="{FF2B5EF4-FFF2-40B4-BE49-F238E27FC236}">
              <a16:creationId xmlns:a16="http://schemas.microsoft.com/office/drawing/2014/main" id="{6E887A34-0FC0-784D-ADB1-EB7837448AC6}"/>
            </a:ext>
          </a:extLst>
        </xdr:cNvPr>
        <xdr:cNvSpPr txBox="1"/>
      </xdr:nvSpPr>
      <xdr:spPr>
        <a:xfrm>
          <a:off x="4603751" y="5773208"/>
          <a:ext cx="910166" cy="48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FAFA522-61EA-F44C-B0C0-B656DB5971A2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4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 editAs="oneCell">
    <xdr:from>
      <xdr:col>3</xdr:col>
      <xdr:colOff>232151</xdr:colOff>
      <xdr:row>5</xdr:row>
      <xdr:rowOff>95592</xdr:rowOff>
    </xdr:from>
    <xdr:to>
      <xdr:col>3</xdr:col>
      <xdr:colOff>619501</xdr:colOff>
      <xdr:row>7</xdr:row>
      <xdr:rowOff>122300</xdr:rowOff>
    </xdr:to>
    <xdr:pic macro="[0]!atualizar">
      <xdr:nvPicPr>
        <xdr:cNvPr id="25" name="Imagem 24">
          <a:extLst>
            <a:ext uri="{FF2B5EF4-FFF2-40B4-BE49-F238E27FC236}">
              <a16:creationId xmlns:a16="http://schemas.microsoft.com/office/drawing/2014/main" id="{E6A57F06-715B-BE4D-A6A4-4E1D7C722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36022" y="1051506"/>
          <a:ext cx="387350" cy="409074"/>
        </a:xfrm>
        <a:prstGeom prst="rect">
          <a:avLst/>
        </a:prstGeom>
      </xdr:spPr>
    </xdr:pic>
    <xdr:clientData/>
  </xdr:twoCellAnchor>
  <xdr:twoCellAnchor>
    <xdr:from>
      <xdr:col>12</xdr:col>
      <xdr:colOff>238125</xdr:colOff>
      <xdr:row>34</xdr:row>
      <xdr:rowOff>22225</xdr:rowOff>
    </xdr:from>
    <xdr:to>
      <xdr:col>13</xdr:col>
      <xdr:colOff>762001</xdr:colOff>
      <xdr:row>37</xdr:row>
      <xdr:rowOff>15840</xdr:rowOff>
    </xdr:to>
    <xdr:sp macro="" textlink="Tabelas!L21">
      <xdr:nvSpPr>
        <xdr:cNvPr id="57" name="CaixaDeTexto 56">
          <a:extLst>
            <a:ext uri="{FF2B5EF4-FFF2-40B4-BE49-F238E27FC236}">
              <a16:creationId xmlns:a16="http://schemas.microsoft.com/office/drawing/2014/main" id="{32B4D9C7-8612-624B-BD5E-F32D1528864D}"/>
            </a:ext>
          </a:extLst>
        </xdr:cNvPr>
        <xdr:cNvSpPr txBox="1"/>
      </xdr:nvSpPr>
      <xdr:spPr>
        <a:xfrm>
          <a:off x="10144125" y="6261100"/>
          <a:ext cx="1349376" cy="49103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89537E-67C1-CA41-BD8C-8A5EBD9C6319}" type="TxLink">
            <a:rPr lang="en-US" sz="1400" b="0" i="0" u="none" strike="noStrike">
              <a:solidFill>
                <a:schemeClr val="bg1"/>
              </a:solidFill>
              <a:latin typeface="Avenir Book" panose="02000503020000020003" pitchFamily="2" charset="0"/>
              <a:cs typeface="Calibri"/>
            </a:rPr>
            <a:pPr algn="ctr"/>
            <a:t> -   </a:t>
          </a:fld>
          <a:endParaRPr lang="pt-BR" sz="14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15874</xdr:colOff>
      <xdr:row>0</xdr:row>
      <xdr:rowOff>0</xdr:rowOff>
    </xdr:from>
    <xdr:to>
      <xdr:col>44</xdr:col>
      <xdr:colOff>555623</xdr:colOff>
      <xdr:row>2</xdr:row>
      <xdr:rowOff>15875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9D6F8190-7514-3A4F-9170-5E33A3C7F79B}"/>
            </a:ext>
          </a:extLst>
        </xdr:cNvPr>
        <xdr:cNvSpPr/>
      </xdr:nvSpPr>
      <xdr:spPr>
        <a:xfrm>
          <a:off x="15874" y="0"/>
          <a:ext cx="47910749" cy="396875"/>
        </a:xfrm>
        <a:prstGeom prst="rect">
          <a:avLst/>
        </a:prstGeom>
        <a:solidFill>
          <a:srgbClr val="1D1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798686</xdr:colOff>
      <xdr:row>0</xdr:row>
      <xdr:rowOff>18422</xdr:rowOff>
    </xdr:from>
    <xdr:to>
      <xdr:col>4</xdr:col>
      <xdr:colOff>934467</xdr:colOff>
      <xdr:row>1</xdr:row>
      <xdr:rowOff>185107</xdr:rowOff>
    </xdr:to>
    <xdr:sp macro="" textlink="Personalização!C4">
      <xdr:nvSpPr>
        <xdr:cNvPr id="3" name="CaixaDeTexto 2">
          <a:extLst>
            <a:ext uri="{FF2B5EF4-FFF2-40B4-BE49-F238E27FC236}">
              <a16:creationId xmlns:a16="http://schemas.microsoft.com/office/drawing/2014/main" id="{81C2B62C-8183-6A43-9486-FE80DA4E2ECF}"/>
            </a:ext>
          </a:extLst>
        </xdr:cNvPr>
        <xdr:cNvSpPr txBox="1"/>
      </xdr:nvSpPr>
      <xdr:spPr>
        <a:xfrm>
          <a:off x="1248071" y="18422"/>
          <a:ext cx="3691781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67003C8-DD12-7549-8B2B-40AE1D2D2537}" type="TxLink">
            <a:rPr lang="en-US" sz="1400" b="0" i="0" u="none" strike="noStrike">
              <a:solidFill>
                <a:schemeClr val="bg1"/>
              </a:solidFill>
              <a:latin typeface="Aptos Narrow"/>
              <a:cs typeface="Calibri"/>
            </a:rPr>
            <a:pPr algn="l"/>
            <a:t>Eduardo Silva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 editAs="oneCell">
    <xdr:from>
      <xdr:col>1</xdr:col>
      <xdr:colOff>368300</xdr:colOff>
      <xdr:row>0</xdr:row>
      <xdr:rowOff>0</xdr:rowOff>
    </xdr:from>
    <xdr:to>
      <xdr:col>1</xdr:col>
      <xdr:colOff>755650</xdr:colOff>
      <xdr:row>2</xdr:row>
      <xdr:rowOff>28074</xdr:rowOff>
    </xdr:to>
    <xdr:pic macro="[0]!atualizar">
      <xdr:nvPicPr>
        <xdr:cNvPr id="4" name="Imagem 3">
          <a:extLst>
            <a:ext uri="{FF2B5EF4-FFF2-40B4-BE49-F238E27FC236}">
              <a16:creationId xmlns:a16="http://schemas.microsoft.com/office/drawing/2014/main" id="{1BF431F8-18DB-EB44-820E-9658DFE260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800" y="0"/>
          <a:ext cx="387350" cy="409074"/>
        </a:xfrm>
        <a:prstGeom prst="rect">
          <a:avLst/>
        </a:prstGeom>
      </xdr:spPr>
    </xdr:pic>
    <xdr:clientData/>
  </xdr:twoCellAnchor>
  <xdr:twoCellAnchor>
    <xdr:from>
      <xdr:col>9</xdr:col>
      <xdr:colOff>762000</xdr:colOff>
      <xdr:row>0</xdr:row>
      <xdr:rowOff>25400</xdr:rowOff>
    </xdr:from>
    <xdr:to>
      <xdr:col>9</xdr:col>
      <xdr:colOff>1581123</xdr:colOff>
      <xdr:row>2</xdr:row>
      <xdr:rowOff>6470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EB121B3-03F6-1C46-A1E4-E694449BB62B}"/>
            </a:ext>
          </a:extLst>
        </xdr:cNvPr>
        <xdr:cNvSpPr txBox="1"/>
      </xdr:nvSpPr>
      <xdr:spPr>
        <a:xfrm>
          <a:off x="10998200" y="25400"/>
          <a:ext cx="819123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Resumo</a:t>
          </a:r>
        </a:p>
      </xdr:txBody>
    </xdr:sp>
    <xdr:clientData/>
  </xdr:twoCellAnchor>
  <xdr:twoCellAnchor>
    <xdr:from>
      <xdr:col>10</xdr:col>
      <xdr:colOff>71085</xdr:colOff>
      <xdr:row>0</xdr:row>
      <xdr:rowOff>25400</xdr:rowOff>
    </xdr:from>
    <xdr:to>
      <xdr:col>11</xdr:col>
      <xdr:colOff>1087706</xdr:colOff>
      <xdr:row>2</xdr:row>
      <xdr:rowOff>6470</xdr:rowOff>
    </xdr:to>
    <xdr:sp macro="" textlink="">
      <xdr:nvSpPr>
        <xdr:cNvPr id="6" name="CaixaDeTexto 5">
          <a:extLst>
            <a:ext uri="{FF2B5EF4-FFF2-40B4-BE49-F238E27FC236}">
              <a16:creationId xmlns:a16="http://schemas.microsoft.com/office/drawing/2014/main" id="{1EE4FE91-F992-744B-B73B-87D22D240D21}"/>
            </a:ext>
          </a:extLst>
        </xdr:cNvPr>
        <xdr:cNvSpPr txBox="1"/>
      </xdr:nvSpPr>
      <xdr:spPr>
        <a:xfrm>
          <a:off x="12047185" y="25400"/>
          <a:ext cx="1550021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Tabelas</a:t>
          </a:r>
        </a:p>
      </xdr:txBody>
    </xdr:sp>
    <xdr:clientData/>
  </xdr:twoCellAnchor>
  <xdr:twoCellAnchor>
    <xdr:from>
      <xdr:col>10</xdr:col>
      <xdr:colOff>148262</xdr:colOff>
      <xdr:row>1</xdr:row>
      <xdr:rowOff>129427</xdr:rowOff>
    </xdr:from>
    <xdr:to>
      <xdr:col>11</xdr:col>
      <xdr:colOff>689</xdr:colOff>
      <xdr:row>1</xdr:row>
      <xdr:rowOff>173637</xdr:rowOff>
    </xdr:to>
    <xdr:sp macro="" textlink="">
      <xdr:nvSpPr>
        <xdr:cNvPr id="7" name="Retângulo Arredondado 20">
          <a:extLst>
            <a:ext uri="{FF2B5EF4-FFF2-40B4-BE49-F238E27FC236}">
              <a16:creationId xmlns:a16="http://schemas.microsoft.com/office/drawing/2014/main" id="{8173DF6D-A41B-2049-85C0-E2BC49F3FD63}"/>
            </a:ext>
          </a:extLst>
        </xdr:cNvPr>
        <xdr:cNvSpPr/>
      </xdr:nvSpPr>
      <xdr:spPr>
        <a:xfrm>
          <a:off x="12124362" y="319927"/>
          <a:ext cx="385827" cy="44210"/>
        </a:xfrm>
        <a:prstGeom prst="roundRect">
          <a:avLst/>
        </a:prstGeom>
        <a:solidFill>
          <a:srgbClr val="194AF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12</xdr:col>
      <xdr:colOff>6105</xdr:colOff>
      <xdr:row>0</xdr:row>
      <xdr:rowOff>25400</xdr:rowOff>
    </xdr:from>
    <xdr:to>
      <xdr:col>13</xdr:col>
      <xdr:colOff>1072904</xdr:colOff>
      <xdr:row>2</xdr:row>
      <xdr:rowOff>6168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2DDCEA23-BE09-0345-AEB6-EAD07B0FB524}"/>
            </a:ext>
          </a:extLst>
        </xdr:cNvPr>
        <xdr:cNvGrpSpPr/>
      </xdr:nvGrpSpPr>
      <xdr:grpSpPr>
        <a:xfrm>
          <a:off x="14877805" y="25400"/>
          <a:ext cx="2108199" cy="361768"/>
          <a:chOff x="13224442" y="520700"/>
          <a:chExt cx="2582602" cy="374468"/>
        </a:xfrm>
      </xdr:grpSpPr>
      <xdr:pic>
        <xdr:nvPicPr>
          <xdr:cNvPr id="9" name="Imagem 8">
            <a:extLst>
              <a:ext uri="{FF2B5EF4-FFF2-40B4-BE49-F238E27FC236}">
                <a16:creationId xmlns:a16="http://schemas.microsoft.com/office/drawing/2014/main" id="{6C015C7A-B92E-59D7-9734-7162B7BD18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4442" y="640102"/>
            <a:ext cx="196147" cy="192296"/>
          </a:xfrm>
          <a:prstGeom prst="rect">
            <a:avLst/>
          </a:prstGeom>
        </xdr:spPr>
      </xdr:pic>
      <xdr:sp macro="" textlink="">
        <xdr:nvSpPr>
          <xdr:cNvPr id="10" name="CaixaDeTexto 9">
            <a:extLst>
              <a:ext uri="{FF2B5EF4-FFF2-40B4-BE49-F238E27FC236}">
                <a16:creationId xmlns:a16="http://schemas.microsoft.com/office/drawing/2014/main" id="{2A950A47-717F-E6A6-6275-DFE7978F4004}"/>
              </a:ext>
            </a:extLst>
          </xdr:cNvPr>
          <xdr:cNvSpPr txBox="1"/>
        </xdr:nvSpPr>
        <xdr:spPr>
          <a:xfrm>
            <a:off x="13398502" y="520700"/>
            <a:ext cx="2408542" cy="3744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0" i="0" u="none" strike="noStrike">
                <a:solidFill>
                  <a:srgbClr val="FFFFFF"/>
                </a:solidFill>
                <a:latin typeface="Avenir Book" panose="02000503020000020003" pitchFamily="2" charset="0"/>
                <a:ea typeface="+mn-ea"/>
                <a:cs typeface="Calibri"/>
              </a:rPr>
              <a:t>profmauricioalmeida7</a:t>
            </a:r>
          </a:p>
        </xdr:txBody>
      </xdr:sp>
    </xdr:grpSp>
    <xdr:clientData/>
  </xdr:twoCellAnchor>
  <xdr:twoCellAnchor>
    <xdr:from>
      <xdr:col>0</xdr:col>
      <xdr:colOff>19050</xdr:colOff>
      <xdr:row>2</xdr:row>
      <xdr:rowOff>25400</xdr:rowOff>
    </xdr:from>
    <xdr:to>
      <xdr:col>45</xdr:col>
      <xdr:colOff>304800</xdr:colOff>
      <xdr:row>150</xdr:row>
      <xdr:rowOff>120650</xdr:rowOff>
    </xdr:to>
    <xdr:sp macro="" textlink="">
      <xdr:nvSpPr>
        <xdr:cNvPr id="11" name="Retângulo 10">
          <a:extLst>
            <a:ext uri="{FF2B5EF4-FFF2-40B4-BE49-F238E27FC236}">
              <a16:creationId xmlns:a16="http://schemas.microsoft.com/office/drawing/2014/main" id="{2589686E-51DE-556E-6CE7-CA17A87B92BF}"/>
            </a:ext>
          </a:extLst>
        </xdr:cNvPr>
        <xdr:cNvSpPr/>
      </xdr:nvSpPr>
      <xdr:spPr>
        <a:xfrm>
          <a:off x="19050" y="393700"/>
          <a:ext cx="46539150" cy="30092650"/>
        </a:xfrm>
        <a:prstGeom prst="rect">
          <a:avLst/>
        </a:prstGeom>
        <a:solidFill>
          <a:srgbClr val="156082">
            <a:alpha val="93000"/>
          </a:srgb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844550</xdr:colOff>
      <xdr:row>13</xdr:row>
      <xdr:rowOff>133350</xdr:rowOff>
    </xdr:from>
    <xdr:to>
      <xdr:col>18</xdr:col>
      <xdr:colOff>679450</xdr:colOff>
      <xdr:row>32</xdr:row>
      <xdr:rowOff>95250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6F626850-368D-2FAD-413B-DE10B86A06E1}"/>
            </a:ext>
          </a:extLst>
        </xdr:cNvPr>
        <xdr:cNvSpPr txBox="1"/>
      </xdr:nvSpPr>
      <xdr:spPr>
        <a:xfrm>
          <a:off x="3397250" y="2736850"/>
          <a:ext cx="16884650" cy="3746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9900"/>
            <a:t>NÃO</a:t>
          </a:r>
          <a:r>
            <a:rPr lang="pt-BR" sz="19900" baseline="0"/>
            <a:t> ALTERAR</a:t>
          </a:r>
          <a:endParaRPr lang="pt-BR" sz="199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23</xdr:col>
      <xdr:colOff>97937</xdr:colOff>
      <xdr:row>1</xdr:row>
      <xdr:rowOff>180332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DA811785-9DF1-4DE4-B7F3-1159946BC53F}"/>
            </a:ext>
          </a:extLst>
        </xdr:cNvPr>
        <xdr:cNvSpPr/>
      </xdr:nvSpPr>
      <xdr:spPr>
        <a:xfrm>
          <a:off x="0" y="0"/>
          <a:ext cx="21243437" cy="383532"/>
        </a:xfrm>
        <a:prstGeom prst="rect">
          <a:avLst/>
        </a:prstGeom>
        <a:solidFill>
          <a:srgbClr val="1D1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152400</xdr:colOff>
      <xdr:row>2</xdr:row>
      <xdr:rowOff>152400</xdr:rowOff>
    </xdr:from>
    <xdr:to>
      <xdr:col>0</xdr:col>
      <xdr:colOff>1689100</xdr:colOff>
      <xdr:row>4</xdr:row>
      <xdr:rowOff>25400</xdr:rowOff>
    </xdr:to>
    <xdr:sp macro="[0]!CancelarImportacao" textlink="">
      <xdr:nvSpPr>
        <xdr:cNvPr id="3" name="Retângulo Arredondado 5">
          <a:extLst>
            <a:ext uri="{FF2B5EF4-FFF2-40B4-BE49-F238E27FC236}">
              <a16:creationId xmlns:a16="http://schemas.microsoft.com/office/drawing/2014/main" id="{4C75FD1F-21BF-4EE2-9684-7278AB20DBA3}"/>
            </a:ext>
          </a:extLst>
        </xdr:cNvPr>
        <xdr:cNvSpPr/>
      </xdr:nvSpPr>
      <xdr:spPr>
        <a:xfrm>
          <a:off x="152400" y="552450"/>
          <a:ext cx="1533525" cy="2762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Cancelar</a:t>
          </a:r>
        </a:p>
      </xdr:txBody>
    </xdr:sp>
    <xdr:clientData/>
  </xdr:twoCellAnchor>
  <xdr:twoCellAnchor>
    <xdr:from>
      <xdr:col>0</xdr:col>
      <xdr:colOff>622300</xdr:colOff>
      <xdr:row>0</xdr:row>
      <xdr:rowOff>0</xdr:rowOff>
    </xdr:from>
    <xdr:to>
      <xdr:col>1</xdr:col>
      <xdr:colOff>292100</xdr:colOff>
      <xdr:row>1</xdr:row>
      <xdr:rowOff>168440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C2DBD93D-50DD-4993-98D5-05A4413A40F3}"/>
            </a:ext>
          </a:extLst>
        </xdr:cNvPr>
        <xdr:cNvSpPr txBox="1"/>
      </xdr:nvSpPr>
      <xdr:spPr>
        <a:xfrm>
          <a:off x="619125" y="0"/>
          <a:ext cx="2190750" cy="368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Área de Transferência</a:t>
          </a:r>
        </a:p>
      </xdr:txBody>
    </xdr:sp>
    <xdr:clientData/>
  </xdr:twoCellAnchor>
  <xdr:twoCellAnchor>
    <xdr:from>
      <xdr:col>0</xdr:col>
      <xdr:colOff>2082800</xdr:colOff>
      <xdr:row>2</xdr:row>
      <xdr:rowOff>152400</xdr:rowOff>
    </xdr:from>
    <xdr:to>
      <xdr:col>1</xdr:col>
      <xdr:colOff>1104900</xdr:colOff>
      <xdr:row>4</xdr:row>
      <xdr:rowOff>25400</xdr:rowOff>
    </xdr:to>
    <xdr:sp macro="[0]!CopiarDados" textlink="">
      <xdr:nvSpPr>
        <xdr:cNvPr id="5" name="Retângulo Arredondado 7">
          <a:extLst>
            <a:ext uri="{FF2B5EF4-FFF2-40B4-BE49-F238E27FC236}">
              <a16:creationId xmlns:a16="http://schemas.microsoft.com/office/drawing/2014/main" id="{1E65A650-DD84-4858-BC55-4FC63628EDD2}"/>
            </a:ext>
          </a:extLst>
        </xdr:cNvPr>
        <xdr:cNvSpPr/>
      </xdr:nvSpPr>
      <xdr:spPr>
        <a:xfrm>
          <a:off x="2085975" y="552450"/>
          <a:ext cx="1533525" cy="27622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Finalizar</a:t>
          </a:r>
          <a:r>
            <a:rPr lang="pt-BR" sz="1100" baseline="0">
              <a:latin typeface="Avenir Book" panose="02000503020000020003" pitchFamily="2" charset="0"/>
            </a:rPr>
            <a:t> Importação</a:t>
          </a:r>
          <a:endParaRPr lang="pt-BR" sz="1100">
            <a:latin typeface="Avenir Book" panose="02000503020000020003" pitchFamily="2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34</xdr:col>
      <xdr:colOff>819150</xdr:colOff>
      <xdr:row>1</xdr:row>
      <xdr:rowOff>183360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899C26A4-45DE-4FBA-B2E6-F1B7F0928F79}"/>
            </a:ext>
          </a:extLst>
        </xdr:cNvPr>
        <xdr:cNvSpPr/>
      </xdr:nvSpPr>
      <xdr:spPr>
        <a:xfrm>
          <a:off x="0" y="0"/>
          <a:ext cx="24345900" cy="380210"/>
        </a:xfrm>
        <a:prstGeom prst="rect">
          <a:avLst/>
        </a:prstGeom>
        <a:solidFill>
          <a:srgbClr val="1D1D3C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346371</xdr:colOff>
      <xdr:row>0</xdr:row>
      <xdr:rowOff>18422</xdr:rowOff>
    </xdr:from>
    <xdr:to>
      <xdr:col>5</xdr:col>
      <xdr:colOff>1333052</xdr:colOff>
      <xdr:row>1</xdr:row>
      <xdr:rowOff>189992</xdr:rowOff>
    </xdr:to>
    <xdr:sp macro="" textlink="Personalização!C4">
      <xdr:nvSpPr>
        <xdr:cNvPr id="3" name="CaixaDeTexto 2">
          <a:extLst>
            <a:ext uri="{FF2B5EF4-FFF2-40B4-BE49-F238E27FC236}">
              <a16:creationId xmlns:a16="http://schemas.microsoft.com/office/drawing/2014/main" id="{E5C2B3C9-1600-4EDF-B60E-5F400DC07B58}"/>
            </a:ext>
          </a:extLst>
        </xdr:cNvPr>
        <xdr:cNvSpPr txBox="1"/>
      </xdr:nvSpPr>
      <xdr:spPr>
        <a:xfrm>
          <a:off x="1178221" y="18422"/>
          <a:ext cx="3469531" cy="371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667003C8-DD12-7549-8B2B-40AE1D2D2537}" type="TxLink">
            <a:rPr lang="en-US" sz="1400" b="0" i="0" u="none" strike="noStrike">
              <a:solidFill>
                <a:schemeClr val="bg1"/>
              </a:solidFill>
              <a:latin typeface="Aptos Narrow"/>
              <a:cs typeface="Calibri"/>
            </a:rPr>
            <a:pPr algn="l"/>
            <a:t>Eduardo Silva</a:t>
          </a:fld>
          <a:endParaRPr lang="pt-BR" sz="18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xdr:twoCellAnchor>
    <xdr:from>
      <xdr:col>18</xdr:col>
      <xdr:colOff>349498</xdr:colOff>
      <xdr:row>0</xdr:row>
      <xdr:rowOff>0</xdr:rowOff>
    </xdr:from>
    <xdr:to>
      <xdr:col>19</xdr:col>
      <xdr:colOff>266921</xdr:colOff>
      <xdr:row>1</xdr:row>
      <xdr:rowOff>171570</xdr:rowOff>
    </xdr:to>
    <xdr:sp macro="" textlink="">
      <xdr:nvSpPr>
        <xdr:cNvPr id="4" name="CaixaDeTexto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499897E-87ED-4046-9A39-73CFDB731A09}"/>
            </a:ext>
          </a:extLst>
        </xdr:cNvPr>
        <xdr:cNvSpPr txBox="1"/>
      </xdr:nvSpPr>
      <xdr:spPr>
        <a:xfrm>
          <a:off x="10620623" y="0"/>
          <a:ext cx="742923" cy="3715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Resumo</a:t>
          </a:r>
        </a:p>
      </xdr:txBody>
    </xdr:sp>
    <xdr:clientData/>
  </xdr:twoCellAnchor>
  <xdr:twoCellAnchor>
    <xdr:from>
      <xdr:col>19</xdr:col>
      <xdr:colOff>266701</xdr:colOff>
      <xdr:row>0</xdr:row>
      <xdr:rowOff>0</xdr:rowOff>
    </xdr:from>
    <xdr:to>
      <xdr:col>21</xdr:col>
      <xdr:colOff>243405</xdr:colOff>
      <xdr:row>1</xdr:row>
      <xdr:rowOff>171570</xdr:rowOff>
    </xdr:to>
    <xdr:sp macro="" textlink="">
      <xdr:nvSpPr>
        <xdr:cNvPr id="5" name="CaixaDeText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BBD46DB-2C2C-425D-8375-4CE73FAAC77B}"/>
            </a:ext>
          </a:extLst>
        </xdr:cNvPr>
        <xdr:cNvSpPr txBox="1"/>
      </xdr:nvSpPr>
      <xdr:spPr>
        <a:xfrm>
          <a:off x="13919201" y="0"/>
          <a:ext cx="1399104" cy="3620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400">
              <a:solidFill>
                <a:schemeClr val="bg1"/>
              </a:solidFill>
              <a:latin typeface="Avenir Book" panose="02000503020000020003" pitchFamily="2" charset="0"/>
            </a:rPr>
            <a:t>Personalização</a:t>
          </a:r>
        </a:p>
      </xdr:txBody>
    </xdr:sp>
    <xdr:clientData/>
  </xdr:twoCellAnchor>
  <xdr:twoCellAnchor>
    <xdr:from>
      <xdr:col>19</xdr:col>
      <xdr:colOff>472360</xdr:colOff>
      <xdr:row>1</xdr:row>
      <xdr:rowOff>104027</xdr:rowOff>
    </xdr:from>
    <xdr:to>
      <xdr:col>19</xdr:col>
      <xdr:colOff>858187</xdr:colOff>
      <xdr:row>1</xdr:row>
      <xdr:rowOff>148237</xdr:rowOff>
    </xdr:to>
    <xdr:sp macro="" textlink="">
      <xdr:nvSpPr>
        <xdr:cNvPr id="6" name="Retângulo Arredondado 20">
          <a:extLst>
            <a:ext uri="{FF2B5EF4-FFF2-40B4-BE49-F238E27FC236}">
              <a16:creationId xmlns:a16="http://schemas.microsoft.com/office/drawing/2014/main" id="{8C5672DB-AB0D-46DE-B901-2FA1CA969CA0}"/>
            </a:ext>
          </a:extLst>
        </xdr:cNvPr>
        <xdr:cNvSpPr/>
      </xdr:nvSpPr>
      <xdr:spPr>
        <a:xfrm>
          <a:off x="14124860" y="294527"/>
          <a:ext cx="385827" cy="44210"/>
        </a:xfrm>
        <a:prstGeom prst="roundRect">
          <a:avLst/>
        </a:prstGeom>
        <a:solidFill>
          <a:srgbClr val="194AFE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23</xdr:col>
      <xdr:colOff>812800</xdr:colOff>
      <xdr:row>0</xdr:row>
      <xdr:rowOff>0</xdr:rowOff>
    </xdr:from>
    <xdr:to>
      <xdr:col>26</xdr:col>
      <xdr:colOff>476250</xdr:colOff>
      <xdr:row>1</xdr:row>
      <xdr:rowOff>171268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66715D52-E83C-40DC-AC42-0F9712CD1AF2}"/>
            </a:ext>
          </a:extLst>
        </xdr:cNvPr>
        <xdr:cNvGrpSpPr/>
      </xdr:nvGrpSpPr>
      <xdr:grpSpPr>
        <a:xfrm>
          <a:off x="16789400" y="0"/>
          <a:ext cx="2368550" cy="361768"/>
          <a:chOff x="13224443" y="520700"/>
          <a:chExt cx="2940326" cy="374468"/>
        </a:xfrm>
      </xdr:grpSpPr>
      <xdr:pic>
        <xdr:nvPicPr>
          <xdr:cNvPr id="8" name="Imagem 7">
            <a:extLst>
              <a:ext uri="{FF2B5EF4-FFF2-40B4-BE49-F238E27FC236}">
                <a16:creationId xmlns:a16="http://schemas.microsoft.com/office/drawing/2014/main" id="{D0E52828-A03D-ABCB-7D37-227D93EEA3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3224443" y="640104"/>
            <a:ext cx="196148" cy="192296"/>
          </a:xfrm>
          <a:prstGeom prst="rect">
            <a:avLst/>
          </a:prstGeom>
        </xdr:spPr>
      </xdr:pic>
      <xdr:sp macro="" textlink="">
        <xdr:nvSpPr>
          <xdr:cNvPr id="9" name="CaixaDeTexto 8">
            <a:extLst>
              <a:ext uri="{FF2B5EF4-FFF2-40B4-BE49-F238E27FC236}">
                <a16:creationId xmlns:a16="http://schemas.microsoft.com/office/drawing/2014/main" id="{2816FA80-9D5E-C1AC-7B6D-1478BDBC9668}"/>
              </a:ext>
            </a:extLst>
          </xdr:cNvPr>
          <xdr:cNvSpPr txBox="1"/>
        </xdr:nvSpPr>
        <xdr:spPr>
          <a:xfrm>
            <a:off x="13398502" y="520700"/>
            <a:ext cx="2766267" cy="3744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r>
              <a:rPr lang="en-US" sz="1400" b="0" i="0" u="none" strike="noStrike">
                <a:solidFill>
                  <a:srgbClr val="FFFFFF"/>
                </a:solidFill>
                <a:latin typeface="Avenir Book" panose="02000503020000020003" pitchFamily="2" charset="0"/>
                <a:ea typeface="+mn-ea"/>
                <a:cs typeface="Calibri"/>
              </a:rPr>
              <a:t>profmauricioalmeida7</a:t>
            </a:r>
          </a:p>
        </xdr:txBody>
      </xdr:sp>
    </xdr:grpSp>
    <xdr:clientData/>
  </xdr:twoCellAnchor>
  <xdr:twoCellAnchor>
    <xdr:from>
      <xdr:col>0</xdr:col>
      <xdr:colOff>622300</xdr:colOff>
      <xdr:row>6</xdr:row>
      <xdr:rowOff>63500</xdr:rowOff>
    </xdr:from>
    <xdr:to>
      <xdr:col>0</xdr:col>
      <xdr:colOff>812800</xdr:colOff>
      <xdr:row>15</xdr:row>
      <xdr:rowOff>139700</xdr:rowOff>
    </xdr:to>
    <xdr:sp macro="" textlink="">
      <xdr:nvSpPr>
        <xdr:cNvPr id="11" name="Chave Esquerda 10">
          <a:extLst>
            <a:ext uri="{FF2B5EF4-FFF2-40B4-BE49-F238E27FC236}">
              <a16:creationId xmlns:a16="http://schemas.microsoft.com/office/drawing/2014/main" id="{5BAE5461-CEAB-4A71-BA30-F16065C0D031}"/>
            </a:ext>
          </a:extLst>
        </xdr:cNvPr>
        <xdr:cNvSpPr/>
      </xdr:nvSpPr>
      <xdr:spPr>
        <a:xfrm>
          <a:off x="619125" y="1266825"/>
          <a:ext cx="190500" cy="1876425"/>
        </a:xfrm>
        <a:prstGeom prst="leftBrace">
          <a:avLst/>
        </a:prstGeom>
        <a:ln>
          <a:solidFill>
            <a:srgbClr val="EA375D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320766</xdr:colOff>
      <xdr:row>5</xdr:row>
      <xdr:rowOff>9434</xdr:rowOff>
    </xdr:from>
    <xdr:to>
      <xdr:col>0</xdr:col>
      <xdr:colOff>695234</xdr:colOff>
      <xdr:row>16</xdr:row>
      <xdr:rowOff>9434</xdr:rowOff>
    </xdr:to>
    <xdr:sp macro="" textlink="">
      <xdr:nvSpPr>
        <xdr:cNvPr id="12" name="CaixaDeTexto 11">
          <a:extLst>
            <a:ext uri="{FF2B5EF4-FFF2-40B4-BE49-F238E27FC236}">
              <a16:creationId xmlns:a16="http://schemas.microsoft.com/office/drawing/2014/main" id="{21013605-2F61-4EC4-AB4B-486653FA3DFA}"/>
            </a:ext>
          </a:extLst>
        </xdr:cNvPr>
        <xdr:cNvSpPr txBox="1"/>
      </xdr:nvSpPr>
      <xdr:spPr>
        <a:xfrm rot="16200000">
          <a:off x="-590550" y="1924050"/>
          <a:ext cx="2200275" cy="3776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>
              <a:solidFill>
                <a:schemeClr val="bg1"/>
              </a:solidFill>
              <a:latin typeface="Avenir Book" panose="02000503020000020003" pitchFamily="2" charset="0"/>
            </a:rPr>
            <a:t>Lembrete</a:t>
          </a:r>
          <a:r>
            <a:rPr lang="pt-BR" sz="1100" baseline="0">
              <a:solidFill>
                <a:schemeClr val="bg1"/>
              </a:solidFill>
              <a:latin typeface="Avenir Book" panose="02000503020000020003" pitchFamily="2" charset="0"/>
            </a:rPr>
            <a:t> na aba Resumo</a:t>
          </a:r>
          <a:endParaRPr lang="pt-BR" sz="1100">
            <a:solidFill>
              <a:schemeClr val="bg1"/>
            </a:solidFill>
            <a:latin typeface="Avenir Book" panose="02000503020000020003" pitchFamily="2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228600</xdr:colOff>
          <xdr:row>4</xdr:row>
          <xdr:rowOff>101600</xdr:rowOff>
        </xdr:from>
        <xdr:to>
          <xdr:col>2</xdr:col>
          <xdr:colOff>228600</xdr:colOff>
          <xdr:row>6</xdr:row>
          <xdr:rowOff>101600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4</xdr:row>
          <xdr:rowOff>101600</xdr:rowOff>
        </xdr:from>
        <xdr:to>
          <xdr:col>7</xdr:col>
          <xdr:colOff>228600</xdr:colOff>
          <xdr:row>6</xdr:row>
          <xdr:rowOff>101600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127000</xdr:colOff>
          <xdr:row>4</xdr:row>
          <xdr:rowOff>101600</xdr:rowOff>
        </xdr:from>
        <xdr:to>
          <xdr:col>11</xdr:col>
          <xdr:colOff>0</xdr:colOff>
          <xdr:row>6</xdr:row>
          <xdr:rowOff>101600</xdr:rowOff>
        </xdr:to>
        <xdr:sp macro="" textlink="">
          <xdr:nvSpPr>
            <xdr:cNvPr id="2051" name="Check Box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444500</xdr:colOff>
      <xdr:row>4</xdr:row>
      <xdr:rowOff>187325</xdr:rowOff>
    </xdr:from>
    <xdr:to>
      <xdr:col>4</xdr:col>
      <xdr:colOff>184150</xdr:colOff>
      <xdr:row>5</xdr:row>
      <xdr:rowOff>174625</xdr:rowOff>
    </xdr:to>
    <xdr:sp macro="" textlink="">
      <xdr:nvSpPr>
        <xdr:cNvPr id="13" name="CaixaDeTexto 12">
          <a:extLst>
            <a:ext uri="{FF2B5EF4-FFF2-40B4-BE49-F238E27FC236}">
              <a16:creationId xmlns:a16="http://schemas.microsoft.com/office/drawing/2014/main" id="{1F8A10C8-1F0E-40B7-A996-AEFDEEF8A3D9}"/>
            </a:ext>
          </a:extLst>
        </xdr:cNvPr>
        <xdr:cNvSpPr txBox="1"/>
      </xdr:nvSpPr>
      <xdr:spPr>
        <a:xfrm>
          <a:off x="2095500" y="942975"/>
          <a:ext cx="11938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Avenir Book" panose="02000503020000020003" pitchFamily="2" charset="0"/>
            </a:rPr>
            <a:t>Dashboard</a:t>
          </a:r>
        </a:p>
      </xdr:txBody>
    </xdr:sp>
    <xdr:clientData/>
  </xdr:twoCellAnchor>
  <xdr:twoCellAnchor>
    <xdr:from>
      <xdr:col>7</xdr:col>
      <xdr:colOff>444500</xdr:colOff>
      <xdr:row>4</xdr:row>
      <xdr:rowOff>187325</xdr:rowOff>
    </xdr:from>
    <xdr:to>
      <xdr:col>7</xdr:col>
      <xdr:colOff>1346200</xdr:colOff>
      <xdr:row>5</xdr:row>
      <xdr:rowOff>174625</xdr:rowOff>
    </xdr:to>
    <xdr:sp macro="" textlink="">
      <xdr:nvSpPr>
        <xdr:cNvPr id="14" name="CaixaDeTexto 13">
          <a:extLst>
            <a:ext uri="{FF2B5EF4-FFF2-40B4-BE49-F238E27FC236}">
              <a16:creationId xmlns:a16="http://schemas.microsoft.com/office/drawing/2014/main" id="{8246A782-1138-42C7-BDD0-C3BC64152789}"/>
            </a:ext>
          </a:extLst>
        </xdr:cNvPr>
        <xdr:cNvSpPr txBox="1"/>
      </xdr:nvSpPr>
      <xdr:spPr>
        <a:xfrm>
          <a:off x="5435600" y="942975"/>
          <a:ext cx="90170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Avenir Book" panose="02000503020000020003" pitchFamily="2" charset="0"/>
            </a:rPr>
            <a:t>Dashboard</a:t>
          </a:r>
        </a:p>
      </xdr:txBody>
    </xdr:sp>
    <xdr:clientData/>
  </xdr:twoCellAnchor>
  <xdr:twoCellAnchor>
    <xdr:from>
      <xdr:col>8</xdr:col>
      <xdr:colOff>749300</xdr:colOff>
      <xdr:row>0</xdr:row>
      <xdr:rowOff>0</xdr:rowOff>
    </xdr:from>
    <xdr:to>
      <xdr:col>8</xdr:col>
      <xdr:colOff>2044700</xdr:colOff>
      <xdr:row>1</xdr:row>
      <xdr:rowOff>171268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C9D2ACE8-E7A7-4DA8-9ED4-A5301F370145}"/>
            </a:ext>
          </a:extLst>
        </xdr:cNvPr>
        <xdr:cNvGrpSpPr/>
      </xdr:nvGrpSpPr>
      <xdr:grpSpPr>
        <a:xfrm>
          <a:off x="7861300" y="0"/>
          <a:ext cx="1295400" cy="361768"/>
          <a:chOff x="11264900" y="0"/>
          <a:chExt cx="1246922" cy="374468"/>
        </a:xfrm>
      </xdr:grpSpPr>
      <xdr:pic>
        <xdr:nvPicPr>
          <xdr:cNvPr id="16" name="Imagem 15" descr="Logo Live Computer Youtube Icons PNG Download Free Transparent HQ PNG ...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26053518-3120-8651-8C78-A350026CDEE4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837473B0-CC2E-450A-ABE3-18F120FF3D39}">
                <a1611:picAttrSrcUrl xmlns:a1611="http://schemas.microsoft.com/office/drawing/2016/11/main" r:id="rId6"/>
              </a:ext>
            </a:extLst>
          </a:blip>
          <a:srcRect t="13850" b="14658"/>
          <a:stretch/>
        </xdr:blipFill>
        <xdr:spPr>
          <a:xfrm>
            <a:off x="12115800" y="63500"/>
            <a:ext cx="396022" cy="283127"/>
          </a:xfrm>
          <a:prstGeom prst="rect">
            <a:avLst/>
          </a:prstGeom>
        </xdr:spPr>
      </xdr:pic>
      <xdr:sp macro="" textlink="">
        <xdr:nvSpPr>
          <xdr:cNvPr id="17" name="CaixaDeTexto 16">
            <a:hlinkClick xmlns:r="http://schemas.openxmlformats.org/officeDocument/2006/relationships" r:id="rId4"/>
            <a:extLst>
              <a:ext uri="{FF2B5EF4-FFF2-40B4-BE49-F238E27FC236}">
                <a16:creationId xmlns:a16="http://schemas.microsoft.com/office/drawing/2014/main" id="{80829BA3-D4ED-A667-D36C-3DD2A982B51B}"/>
              </a:ext>
            </a:extLst>
          </xdr:cNvPr>
          <xdr:cNvSpPr txBox="1"/>
        </xdr:nvSpPr>
        <xdr:spPr>
          <a:xfrm>
            <a:off x="11264900" y="0"/>
            <a:ext cx="909525" cy="37446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Tutorial</a:t>
            </a:r>
          </a:p>
        </xdr:txBody>
      </xdr:sp>
    </xdr:grpSp>
    <xdr:clientData/>
  </xdr:twoCellAnchor>
  <xdr:twoCellAnchor>
    <xdr:from>
      <xdr:col>10</xdr:col>
      <xdr:colOff>787400</xdr:colOff>
      <xdr:row>40</xdr:row>
      <xdr:rowOff>12700</xdr:rowOff>
    </xdr:from>
    <xdr:to>
      <xdr:col>12</xdr:col>
      <xdr:colOff>444500</xdr:colOff>
      <xdr:row>43</xdr:row>
      <xdr:rowOff>25400</xdr:rowOff>
    </xdr:to>
    <xdr:sp macro="" textlink="">
      <xdr:nvSpPr>
        <xdr:cNvPr id="18" name="CaixaDeTexto 17">
          <a:extLst>
            <a:ext uri="{FF2B5EF4-FFF2-40B4-BE49-F238E27FC236}">
              <a16:creationId xmlns:a16="http://schemas.microsoft.com/office/drawing/2014/main" id="{38F4F15D-4641-4EB7-B8EE-E09BD7381C28}"/>
            </a:ext>
          </a:extLst>
        </xdr:cNvPr>
        <xdr:cNvSpPr txBox="1"/>
      </xdr:nvSpPr>
      <xdr:spPr>
        <a:xfrm>
          <a:off x="9401175" y="8010525"/>
          <a:ext cx="38100" cy="6191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100">
              <a:solidFill>
                <a:schemeClr val="bg1"/>
              </a:solidFill>
            </a:rPr>
            <a:t>Planilha Definitiva?</a:t>
          </a:r>
        </a:p>
        <a:p>
          <a:pPr algn="ctr"/>
          <a:r>
            <a:rPr lang="pt-BR" sz="1100">
              <a:solidFill>
                <a:schemeClr val="bg1"/>
              </a:solidFill>
            </a:rPr>
            <a:t>0 Não</a:t>
          </a:r>
        </a:p>
        <a:p>
          <a:pPr algn="ctr"/>
          <a:r>
            <a:rPr lang="pt-BR" sz="1100">
              <a:solidFill>
                <a:schemeClr val="bg1"/>
              </a:solidFill>
            </a:rPr>
            <a:t>1 Sim</a:t>
          </a:r>
        </a:p>
      </xdr:txBody>
    </xdr:sp>
    <xdr:clientData/>
  </xdr:twoCellAnchor>
  <xdr:twoCellAnchor>
    <xdr:from>
      <xdr:col>12</xdr:col>
      <xdr:colOff>419100</xdr:colOff>
      <xdr:row>40</xdr:row>
      <xdr:rowOff>76200</xdr:rowOff>
    </xdr:from>
    <xdr:to>
      <xdr:col>12</xdr:col>
      <xdr:colOff>609600</xdr:colOff>
      <xdr:row>42</xdr:row>
      <xdr:rowOff>139700</xdr:rowOff>
    </xdr:to>
    <xdr:sp macro="" textlink="">
      <xdr:nvSpPr>
        <xdr:cNvPr id="22" name="Chave Direita 21">
          <a:extLst>
            <a:ext uri="{FF2B5EF4-FFF2-40B4-BE49-F238E27FC236}">
              <a16:creationId xmlns:a16="http://schemas.microsoft.com/office/drawing/2014/main" id="{6C393A72-272B-462B-9286-82475A4927AC}"/>
            </a:ext>
          </a:extLst>
        </xdr:cNvPr>
        <xdr:cNvSpPr/>
      </xdr:nvSpPr>
      <xdr:spPr>
        <a:xfrm>
          <a:off x="9439275" y="8077200"/>
          <a:ext cx="0" cy="466725"/>
        </a:xfrm>
        <a:prstGeom prst="rightBrace">
          <a:avLst/>
        </a:prstGeom>
        <a:ln>
          <a:solidFill>
            <a:srgbClr val="FFC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rgbClr val="FFFF00"/>
            </a:solidFill>
          </a:endParaRPr>
        </a:p>
      </xdr:txBody>
    </xdr:sp>
    <xdr:clientData/>
  </xdr:twoCellAnchor>
  <xdr:twoCellAnchor editAs="oneCell">
    <xdr:from>
      <xdr:col>0</xdr:col>
      <xdr:colOff>787400</xdr:colOff>
      <xdr:row>0</xdr:row>
      <xdr:rowOff>0</xdr:rowOff>
    </xdr:from>
    <xdr:to>
      <xdr:col>1</xdr:col>
      <xdr:colOff>357900</xdr:colOff>
      <xdr:row>2</xdr:row>
      <xdr:rowOff>28074</xdr:rowOff>
    </xdr:to>
    <xdr:pic macro="[0]!atualizar">
      <xdr:nvPicPr>
        <xdr:cNvPr id="25" name="Imagem 24">
          <a:extLst>
            <a:ext uri="{FF2B5EF4-FFF2-40B4-BE49-F238E27FC236}">
              <a16:creationId xmlns:a16="http://schemas.microsoft.com/office/drawing/2014/main" id="{BCAAA6AB-6A34-C540-B6D7-AD214A4B2E9F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7400" y="0"/>
          <a:ext cx="396000" cy="396374"/>
        </a:xfrm>
        <a:prstGeom prst="rect">
          <a:avLst/>
        </a:prstGeom>
      </xdr:spPr>
    </xdr:pic>
    <xdr:clientData/>
  </xdr:twoCellAnchor>
  <xdr:twoCellAnchor>
    <xdr:from>
      <xdr:col>16</xdr:col>
      <xdr:colOff>209550</xdr:colOff>
      <xdr:row>4</xdr:row>
      <xdr:rowOff>187325</xdr:rowOff>
    </xdr:from>
    <xdr:to>
      <xdr:col>17</xdr:col>
      <xdr:colOff>730250</xdr:colOff>
      <xdr:row>5</xdr:row>
      <xdr:rowOff>174625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E85BBE4E-DB88-0340-8D4E-E5DBF18ECE69}"/>
            </a:ext>
          </a:extLst>
        </xdr:cNvPr>
        <xdr:cNvSpPr txBox="1"/>
      </xdr:nvSpPr>
      <xdr:spPr>
        <a:xfrm>
          <a:off x="8807450" y="942975"/>
          <a:ext cx="1276350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000">
              <a:solidFill>
                <a:schemeClr val="bg1"/>
              </a:solidFill>
              <a:latin typeface="Avenir Book" panose="02000503020000020003" pitchFamily="2" charset="0"/>
            </a:rPr>
            <a:t>Dashboard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215900</xdr:colOff>
          <xdr:row>4</xdr:row>
          <xdr:rowOff>88900</xdr:rowOff>
        </xdr:from>
        <xdr:to>
          <xdr:col>2</xdr:col>
          <xdr:colOff>546100</xdr:colOff>
          <xdr:row>6</xdr:row>
          <xdr:rowOff>63500</xdr:rowOff>
        </xdr:to>
        <xdr:sp macro="" textlink="">
          <xdr:nvSpPr>
            <xdr:cNvPr id="2052" name="Check Box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215900</xdr:colOff>
          <xdr:row>4</xdr:row>
          <xdr:rowOff>88900</xdr:rowOff>
        </xdr:from>
        <xdr:to>
          <xdr:col>7</xdr:col>
          <xdr:colOff>546100</xdr:colOff>
          <xdr:row>6</xdr:row>
          <xdr:rowOff>63500</xdr:rowOff>
        </xdr:to>
        <xdr:sp macro="" textlink="">
          <xdr:nvSpPr>
            <xdr:cNvPr id="2053" name="Check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2133600</xdr:colOff>
          <xdr:row>4</xdr:row>
          <xdr:rowOff>88900</xdr:rowOff>
        </xdr:from>
        <xdr:to>
          <xdr:col>16</xdr:col>
          <xdr:colOff>190500</xdr:colOff>
          <xdr:row>6</xdr:row>
          <xdr:rowOff>63500</xdr:rowOff>
        </xdr:to>
        <xdr:sp macro="" textlink="">
          <xdr:nvSpPr>
            <xdr:cNvPr id="2054" name="Check Box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7</xdr:col>
      <xdr:colOff>19050</xdr:colOff>
      <xdr:row>0</xdr:row>
      <xdr:rowOff>18422</xdr:rowOff>
    </xdr:from>
    <xdr:to>
      <xdr:col>8</xdr:col>
      <xdr:colOff>298450</xdr:colOff>
      <xdr:row>1</xdr:row>
      <xdr:rowOff>183642</xdr:rowOff>
    </xdr:to>
    <xdr:sp macro="" textlink="Personalização!AH50">
      <xdr:nvSpPr>
        <xdr:cNvPr id="19" name="CaixaDeTexto 18">
          <a:extLst>
            <a:ext uri="{FF2B5EF4-FFF2-40B4-BE49-F238E27FC236}">
              <a16:creationId xmlns:a16="http://schemas.microsoft.com/office/drawing/2014/main" id="{C9A093D7-95D6-4864-A9D9-3DD12B3D6A81}"/>
            </a:ext>
          </a:extLst>
        </xdr:cNvPr>
        <xdr:cNvSpPr txBox="1"/>
      </xdr:nvSpPr>
      <xdr:spPr>
        <a:xfrm>
          <a:off x="5010150" y="18422"/>
          <a:ext cx="1803400" cy="34937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61DA1AC-697E-4A0F-B8EB-FA8CC52000A8}" type="TxLink">
            <a:rPr lang="en-US" sz="1400" b="0" i="0" u="none" strike="noStrike">
              <a:solidFill>
                <a:schemeClr val="bg1">
                  <a:lumMod val="75000"/>
                  <a:alpha val="25000"/>
                </a:schemeClr>
              </a:solidFill>
              <a:latin typeface="Aptos Narrow"/>
              <a:ea typeface="+mn-ea"/>
              <a:cs typeface="Calibri"/>
            </a:rPr>
            <a:pPr marL="0" indent="0" algn="l"/>
            <a:t> </a:t>
          </a:fld>
          <a:endParaRPr lang="pt-BR" sz="1400" b="0" i="0" u="none" strike="noStrike">
            <a:solidFill>
              <a:schemeClr val="bg1">
                <a:lumMod val="75000"/>
                <a:alpha val="25000"/>
              </a:schemeClr>
            </a:solidFill>
            <a:latin typeface="Aptos Narrow"/>
            <a:ea typeface="+mn-ea"/>
            <a:cs typeface="Calibri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E9FBE93-540A-4386-ADB5-9889E0A58A76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4948C990-22EB-5EB0-B7ED-3353BD1C22D7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6E2FC745-75B8-BD49-2D4E-762FEB9BAC8B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Janeiro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C04D0350-568E-D922-A409-6CA20D98C89C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E5A1B3C9-6416-4C02-1ACF-681AF4DB0B43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16A9DAC6-CD2D-630F-4277-4634A477C6E1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EEDCC81D-810C-4EC6-8733-B6E7DBE575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402" y="0"/>
          <a:ext cx="381000" cy="3836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10" name="Retângulo Arredondado 10">
          <a:extLst>
            <a:ext uri="{FF2B5EF4-FFF2-40B4-BE49-F238E27FC236}">
              <a16:creationId xmlns:a16="http://schemas.microsoft.com/office/drawing/2014/main" id="{40379EB4-4C2F-4325-B951-6113C5800B16}"/>
            </a:ext>
          </a:extLst>
        </xdr:cNvPr>
        <xdr:cNvSpPr/>
      </xdr:nvSpPr>
      <xdr:spPr>
        <a:xfrm>
          <a:off x="97620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1" name="Gráfico 10">
          <a:extLst>
            <a:ext uri="{FF2B5EF4-FFF2-40B4-BE49-F238E27FC236}">
              <a16:creationId xmlns:a16="http://schemas.microsoft.com/office/drawing/2014/main" id="{348BD966-0F36-4659-A4FD-8707E34FEE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2" name="Retângulo Arredondado 10">
          <a:extLst>
            <a:ext uri="{FF2B5EF4-FFF2-40B4-BE49-F238E27FC236}">
              <a16:creationId xmlns:a16="http://schemas.microsoft.com/office/drawing/2014/main" id="{F7593E8C-CD14-4E23-8ABB-40AE9F9DB3EB}"/>
            </a:ext>
          </a:extLst>
        </xdr:cNvPr>
        <xdr:cNvSpPr/>
      </xdr:nvSpPr>
      <xdr:spPr>
        <a:xfrm>
          <a:off x="22057430" y="857365"/>
          <a:ext cx="784281" cy="28388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7A350D7-0DA7-4C93-9C18-44660B555E52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39E9378-E964-9220-8249-594430E1A252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3A7BBC2B-1FA6-EADB-9056-0586185C3759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Fevereiro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7542F1A-9701-6936-A425-206623349BEA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B8B64C26-5783-94D8-8ACB-0097D9594A51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B0090D88-5333-505E-4694-AB19CC19F18A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F13D8208-9410-458B-BA9F-7EC90030BE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5503ECAB-E3B7-4F82-8D1D-6A7579B51A5C}"/>
            </a:ext>
          </a:extLst>
        </xdr:cNvPr>
        <xdr:cNvSpPr/>
      </xdr:nvSpPr>
      <xdr:spPr>
        <a:xfrm>
          <a:off x="97620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188BFAF3-B8F9-45AB-8D25-9263FEFA90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76137B85-F5FE-4578-879D-FAEDE7DCC303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2B9F6160-4DBB-453B-8B89-37A22E5DA89C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73DD8D2D-81F5-63C0-086B-D3004E8E024B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86E3E78-D762-18D8-1109-FE3B57241D5C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Março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9903389A-76FB-EF8B-DEF8-1440EB820979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380C7C7-9B61-7189-A4C4-841586471F5C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575FA51A-6632-5AFB-ECB1-05D99BF0A97C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4989CBC9-C05B-4421-8A98-D0767EC541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0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76D205DC-40CC-4274-A49F-8FE86B9814F0}"/>
            </a:ext>
          </a:extLst>
        </xdr:cNvPr>
        <xdr:cNvSpPr/>
      </xdr:nvSpPr>
      <xdr:spPr>
        <a:xfrm>
          <a:off x="97620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6E1741BF-F90E-4E3C-ACA0-DBC0ED2235A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EB0BBDCB-CC56-42D8-BB44-F61049E8424C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83205E9B-EBFE-4320-AED1-798E25B2BE44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37336797-9021-D9B2-FEB7-DD22E14C82D1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FD4754F-E88D-EAEC-776E-004E5EB6EFCA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Abril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B5B1F664-B646-1461-8861-5338471A9C7D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FB5EBB63-D009-1B1C-9D27-79E6F069CD17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15324C4C-394B-2659-EB6B-6378FD555E35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D1743FDB-E57F-4CFB-A1FB-97CC5E1628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0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8C848943-D20F-42A1-B78B-D252AF645EB1}"/>
            </a:ext>
          </a:extLst>
        </xdr:cNvPr>
        <xdr:cNvSpPr/>
      </xdr:nvSpPr>
      <xdr:spPr>
        <a:xfrm>
          <a:off x="97620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312DF219-B9E2-4126-8954-83A4FBE7E7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29CB09BC-C584-4F04-9567-60AE18D0514B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AF1BAFE9-4A69-40A1-94DE-CF74CDF48C35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E2372952-E616-A9DA-9859-86233C548670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8EBBD55-CAD7-2063-DE5F-82C42AE0B4F5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Maio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AF4D6BBE-9430-F21F-4513-B5881DB2EFC2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5FCC5C98-CDF4-D4B7-D101-22231FBCE0AB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0E721BBF-4370-B601-A163-19FB3AD93572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A14B4931-692D-40FF-AEA4-02FBF85530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90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AE5F4AE7-0795-4C8F-AEB7-2A71A60B9D31}"/>
            </a:ext>
          </a:extLst>
        </xdr:cNvPr>
        <xdr:cNvSpPr/>
      </xdr:nvSpPr>
      <xdr:spPr>
        <a:xfrm>
          <a:off x="97620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67F1469-F9C9-4806-AB7B-22A96C1E2B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1C4D2779-0BE3-41F5-812B-55A5652B1D59}"/>
            </a:ext>
          </a:extLst>
        </xdr:cNvPr>
        <xdr:cNvSpPr/>
      </xdr:nvSpPr>
      <xdr:spPr>
        <a:xfrm>
          <a:off x="22063780" y="863715"/>
          <a:ext cx="78428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2466BF4-7393-1143-9159-68346A5B1341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6AF3784F-47FF-57C5-7ADC-EB118DD935A6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49430CCC-C15B-E87B-0A4D-72D9D1D22FA3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Junho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5F924EE-5568-7563-C1A9-54048A19B18F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754573FC-6DFA-54A2-E60E-2C6D8206E0D4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F2FCFC14-D240-D282-FB1A-56FC47231A3A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8B4C8377-84E7-234E-B3A9-6FBB89A775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B56A12BB-00F4-3443-A20D-19F43512C679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BB0EDEE7-840C-E344-9AA9-671325044BB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3DD8180C-E9BC-E849-BA06-2EEBC9A37D9F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3D72675-C49C-1B4F-90AA-DB764E16978E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0C847803-E58C-E934-571E-24C9B43C7A0F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AB2E58BF-156F-A094-1458-3DC82BE69F05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Julho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D8345194-F345-8758-37FA-8E1BC6B23EF0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A58AA5B4-F2FF-AE5E-B60E-DEA584C32412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837592BF-6DD2-678D-692C-8FFFF96446CB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F16F50F8-8937-6E48-A2B4-7EE0BC0F8C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E49074A0-33A0-8A41-824A-4B7EE45C21E0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A9E488C-732C-CF42-A20F-6903F06D98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D13A8EF9-BC49-D241-A057-939F25DC7579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3AD9A60-2AA4-ED4A-99DE-90AA584F7673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CE7AE560-609B-6B81-F2AA-FDD4876951F8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148D58C3-7B64-DE50-6E52-8C3F5578227E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Agosto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8E792B60-F70B-3D58-1932-2B35CD1A9502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1CD7E33B-C487-6AE1-DBA6-5466370AD2F0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EB4B04C3-301F-C5AD-37EA-C17C92FF9169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D36646F0-72B7-704D-B787-8D5A52B512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9CED2CB6-6472-3244-A71B-5634D9DA9AB7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98A78A1-D332-D846-AACE-66D68A582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09F9D2D6-80F9-3548-8CB2-27241C21DA5E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0F7BC1A2-5D64-D641-863A-F009C6E047F5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201FF0E0-E660-2C40-534C-BA89463E047B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D203813-1A8E-7010-D685-451B913EED27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Setembro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F8B4A5F-B10C-BB49-0DAE-1E100C77FE3D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6466A5A-1E84-A06A-6A59-FA0B14FAEC21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966F9712-56E2-921F-FD9B-1F420EAA4960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83D54420-192D-474A-A739-49A2CC0E83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6F07D727-0F08-2E42-A319-1FBB583AE9EC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8931B213-F942-794B-BFFA-E00C6B0CB3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5AD6F7AD-A836-7547-B597-9185B25E4DE0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9F48507-138F-BC4C-87D5-2DAF2C1A6ADF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85964AAC-57E7-E717-1249-A7BA2E43C311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21F5371C-8186-05FD-653E-EB330280D020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Outubro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68DF3A90-C6B3-F39A-BE08-0DF998FFA97E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99E9E6E-76AD-E4E9-270E-860EF2C4B84A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BCFCDE61-C43B-BDE2-76BD-CCD9924358B8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D412514C-CA10-554A-912A-CD63A74832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B2AE86B5-0408-3145-8182-FC9A8A9B5963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04E92854-6074-0241-A799-F238880B42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637709DB-6179-5A49-B516-2A35C754D42E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BD25509C-01C6-4C46-851E-7C1E25ECBDC6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575AAAD-959A-DFC8-C02A-3191E92C00F5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B401ECB-04FE-F1D2-E419-B990CED8567A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Novembro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F1981496-5B08-EE11-FACD-0B0CA084B8A7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84ADD2FB-F9B9-412B-0B7F-45F270B02315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C9A04830-9AF5-B38B-7A49-E3A033E8A436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35706B07-5557-4648-A668-B7FE8743E4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8C4102A9-89A8-1E49-8DDA-A638C9E62940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F4F7E9DE-0705-564A-9C7B-7349878C42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D443C525-E3AC-6549-BFA1-CE4F9D61B669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1363</xdr:colOff>
      <xdr:row>0</xdr:row>
      <xdr:rowOff>0</xdr:rowOff>
    </xdr:from>
    <xdr:to>
      <xdr:col>21</xdr:col>
      <xdr:colOff>608371</xdr:colOff>
      <xdr:row>2</xdr:row>
      <xdr:rowOff>1855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5C803AA2-3891-DA49-925F-DD9B80605E62}"/>
            </a:ext>
          </a:extLst>
        </xdr:cNvPr>
        <xdr:cNvGrpSpPr/>
      </xdr:nvGrpSpPr>
      <xdr:grpSpPr>
        <a:xfrm>
          <a:off x="1363" y="0"/>
          <a:ext cx="26578508" cy="408255"/>
          <a:chOff x="-1" y="0"/>
          <a:chExt cx="23413608" cy="389116"/>
        </a:xfrm>
      </xdr:grpSpPr>
      <xdr:sp macro="" textlink="">
        <xdr:nvSpPr>
          <xdr:cNvPr id="3" name="Retângulo 2">
            <a:extLst>
              <a:ext uri="{FF2B5EF4-FFF2-40B4-BE49-F238E27FC236}">
                <a16:creationId xmlns:a16="http://schemas.microsoft.com/office/drawing/2014/main" id="{148C0980-8CD0-981D-4001-08DF20A763B3}"/>
              </a:ext>
            </a:extLst>
          </xdr:cNvPr>
          <xdr:cNvSpPr/>
        </xdr:nvSpPr>
        <xdr:spPr>
          <a:xfrm>
            <a:off x="-1" y="0"/>
            <a:ext cx="23413608" cy="389116"/>
          </a:xfrm>
          <a:prstGeom prst="rect">
            <a:avLst/>
          </a:prstGeom>
          <a:solidFill>
            <a:srgbClr val="1D1D3C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459F361-A785-B398-900B-AABDD344E8F1}"/>
              </a:ext>
            </a:extLst>
          </xdr:cNvPr>
          <xdr:cNvSpPr txBox="1"/>
        </xdr:nvSpPr>
        <xdr:spPr>
          <a:xfrm>
            <a:off x="1375480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Dezembro</a:t>
            </a:r>
          </a:p>
        </xdr:txBody>
      </xdr:sp>
      <xdr:sp macro="" textlink="">
        <xdr:nvSpPr>
          <xdr:cNvPr id="5" name="CaixaDeTexto 4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1480BFDD-08DF-C542-648E-F5B0DA7A8A80}"/>
              </a:ext>
            </a:extLst>
          </xdr:cNvPr>
          <xdr:cNvSpPr txBox="1"/>
        </xdr:nvSpPr>
        <xdr:spPr>
          <a:xfrm>
            <a:off x="14689522" y="9427"/>
            <a:ext cx="1000546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Resumo</a:t>
            </a:r>
          </a:p>
        </xdr:txBody>
      </xdr:sp>
      <xdr:sp macro="" textlink="">
        <xdr:nvSpPr>
          <xdr:cNvPr id="6" name="CaixaDeTexto 5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3993F899-45BF-F436-4B76-3F4B656998D5}"/>
              </a:ext>
            </a:extLst>
          </xdr:cNvPr>
          <xdr:cNvSpPr txBox="1"/>
        </xdr:nvSpPr>
        <xdr:spPr>
          <a:xfrm>
            <a:off x="16008237" y="9427"/>
            <a:ext cx="1719350" cy="3770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400">
                <a:solidFill>
                  <a:schemeClr val="bg1"/>
                </a:solidFill>
                <a:latin typeface="Avenir Book" panose="02000503020000020003" pitchFamily="2" charset="0"/>
              </a:rPr>
              <a:t>Personalização</a:t>
            </a:r>
          </a:p>
        </xdr:txBody>
      </xdr:sp>
      <xdr:sp macro="" textlink="">
        <xdr:nvSpPr>
          <xdr:cNvPr id="7" name="Retângulo Arredondado 7">
            <a:extLst>
              <a:ext uri="{FF2B5EF4-FFF2-40B4-BE49-F238E27FC236}">
                <a16:creationId xmlns:a16="http://schemas.microsoft.com/office/drawing/2014/main" id="{14E6BB2A-934F-BE7B-D5C6-BE4347129BA0}"/>
              </a:ext>
            </a:extLst>
          </xdr:cNvPr>
          <xdr:cNvSpPr/>
        </xdr:nvSpPr>
        <xdr:spPr>
          <a:xfrm>
            <a:off x="1479388" y="307924"/>
            <a:ext cx="380902" cy="45246"/>
          </a:xfrm>
          <a:prstGeom prst="roundRect">
            <a:avLst/>
          </a:prstGeom>
          <a:solidFill>
            <a:srgbClr val="194AFE"/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</xdr:col>
      <xdr:colOff>655052</xdr:colOff>
      <xdr:row>0</xdr:row>
      <xdr:rowOff>0</xdr:rowOff>
    </xdr:from>
    <xdr:to>
      <xdr:col>1</xdr:col>
      <xdr:colOff>1042402</xdr:colOff>
      <xdr:row>2</xdr:row>
      <xdr:rowOff>2674</xdr:rowOff>
    </xdr:to>
    <xdr:pic macro="[0]!atualizar">
      <xdr:nvPicPr>
        <xdr:cNvPr id="8" name="Imagem 7">
          <a:extLst>
            <a:ext uri="{FF2B5EF4-FFF2-40B4-BE49-F238E27FC236}">
              <a16:creationId xmlns:a16="http://schemas.microsoft.com/office/drawing/2014/main" id="{E8006B92-6F48-094A-B03F-BCD8D833E7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4452" y="0"/>
          <a:ext cx="387350" cy="409074"/>
        </a:xfrm>
        <a:prstGeom prst="rect">
          <a:avLst/>
        </a:prstGeom>
      </xdr:spPr>
    </xdr:pic>
    <xdr:clientData/>
  </xdr:twoCellAnchor>
  <xdr:twoCellAnchor>
    <xdr:from>
      <xdr:col>10</xdr:col>
      <xdr:colOff>84666</xdr:colOff>
      <xdr:row>0</xdr:row>
      <xdr:rowOff>63273</xdr:rowOff>
    </xdr:from>
    <xdr:to>
      <xdr:col>10</xdr:col>
      <xdr:colOff>1987549</xdr:colOff>
      <xdr:row>1</xdr:row>
      <xdr:rowOff>145117</xdr:rowOff>
    </xdr:to>
    <xdr:sp macro="[0]!OpenCSV" textlink="">
      <xdr:nvSpPr>
        <xdr:cNvPr id="9" name="Retângulo Arredondado 10">
          <a:extLst>
            <a:ext uri="{FF2B5EF4-FFF2-40B4-BE49-F238E27FC236}">
              <a16:creationId xmlns:a16="http://schemas.microsoft.com/office/drawing/2014/main" id="{3867DBC5-46B6-5F4B-B293-B9861CAAD20D}"/>
            </a:ext>
          </a:extLst>
        </xdr:cNvPr>
        <xdr:cNvSpPr/>
      </xdr:nvSpPr>
      <xdr:spPr>
        <a:xfrm>
          <a:off x="10625666" y="63273"/>
          <a:ext cx="1902883" cy="285044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Importar Extrato / FaturaCSV</a:t>
          </a:r>
        </a:p>
      </xdr:txBody>
    </xdr:sp>
    <xdr:clientData/>
  </xdr:twoCellAnchor>
  <xdr:twoCellAnchor>
    <xdr:from>
      <xdr:col>17</xdr:col>
      <xdr:colOff>38920</xdr:colOff>
      <xdr:row>8</xdr:row>
      <xdr:rowOff>151035</xdr:rowOff>
    </xdr:from>
    <xdr:to>
      <xdr:col>21</xdr:col>
      <xdr:colOff>594032</xdr:colOff>
      <xdr:row>23</xdr:row>
      <xdr:rowOff>0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5C0128E9-F7A9-6C4D-A482-8BCEBFEAD2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302330</xdr:colOff>
      <xdr:row>4</xdr:row>
      <xdr:rowOff>133465</xdr:rowOff>
    </xdr:from>
    <xdr:to>
      <xdr:col>20</xdr:col>
      <xdr:colOff>445261</xdr:colOff>
      <xdr:row>6</xdr:row>
      <xdr:rowOff>17298</xdr:rowOff>
    </xdr:to>
    <xdr:sp macro="[0]!LancaParcela" textlink="">
      <xdr:nvSpPr>
        <xdr:cNvPr id="11" name="Retângulo Arredondado 10">
          <a:extLst>
            <a:ext uri="{FF2B5EF4-FFF2-40B4-BE49-F238E27FC236}">
              <a16:creationId xmlns:a16="http://schemas.microsoft.com/office/drawing/2014/main" id="{79BA4FA5-933D-8549-995F-0AB0136E178A}"/>
            </a:ext>
          </a:extLst>
        </xdr:cNvPr>
        <xdr:cNvSpPr/>
      </xdr:nvSpPr>
      <xdr:spPr>
        <a:xfrm>
          <a:off x="24025930" y="870065"/>
          <a:ext cx="841431" cy="290233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rgbClr val="194AFE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hilly" dir="t">
            <a:rot lat="0" lon="0" rev="18480000"/>
          </a:lightRig>
        </a:scene3d>
        <a:sp3d prstMaterial="clear">
          <a:bevelT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100">
              <a:latin typeface="Avenir Book" panose="02000503020000020003" pitchFamily="2" charset="0"/>
            </a:rPr>
            <a:t>Lançar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miliane Abreu" refreshedDate="45696.031557291666" createdVersion="8" refreshedVersion="8" minRefreshableVersion="3" recordCount="12" xr:uid="{BB4B8773-D921-AF4B-B45E-4E0B48089FF1}">
  <cacheSource type="worksheet">
    <worksheetSource name="TabelaPrincipal"/>
  </cacheSource>
  <cacheFields count="44">
    <cacheField name="Mês" numFmtId="0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Receita" numFmtId="164">
      <sharedItems containsSemiMixedTypes="0" containsString="0" containsNumber="1" containsInteger="1" minValue="2000" maxValue="2000"/>
    </cacheField>
    <cacheField name="Despesa Fixa" numFmtId="164">
      <sharedItems containsSemiMixedTypes="0" containsString="0" containsNumber="1" containsInteger="1" minValue="0" maxValue="0"/>
    </cacheField>
    <cacheField name="Despesa Variável" numFmtId="164">
      <sharedItems containsSemiMixedTypes="0" containsString="0" containsNumber="1" containsInteger="1" minValue="0" maxValue="0"/>
    </cacheField>
    <cacheField name="Total Despesas" numFmtId="164">
      <sharedItems containsSemiMixedTypes="0" containsString="0" containsNumber="1" containsInteger="1" minValue="0" maxValue="0"/>
    </cacheField>
    <cacheField name="Investimento 1" numFmtId="164">
      <sharedItems containsSemiMixedTypes="0" containsString="0" containsNumber="1" containsInteger="1" minValue="0" maxValue="0"/>
    </cacheField>
    <cacheField name="Investimento 2" numFmtId="164">
      <sharedItems containsSemiMixedTypes="0" containsString="0" containsNumber="1" containsInteger="1" minValue="0" maxValue="0"/>
    </cacheField>
    <cacheField name="Investimento 3" numFmtId="164">
      <sharedItems containsSemiMixedTypes="0" containsString="0" containsNumber="1" containsInteger="1" minValue="0" maxValue="0"/>
    </cacheField>
    <cacheField name="Investimento 4" numFmtId="164">
      <sharedItems containsSemiMixedTypes="0" containsString="0" containsNumber="1" containsInteger="1" minValue="0" maxValue="0"/>
    </cacheField>
    <cacheField name="Investimento 5" numFmtId="164">
      <sharedItems containsSemiMixedTypes="0" containsString="0" containsNumber="1" containsInteger="1" minValue="0" maxValue="0"/>
    </cacheField>
    <cacheField name="Total Investimentos" numFmtId="164">
      <sharedItems containsSemiMixedTypes="0" containsString="0" containsNumber="1" containsInteger="1" minValue="0" maxValue="0"/>
    </cacheField>
    <cacheField name="Outros" numFmtId="164">
      <sharedItems containsSemiMixedTypes="0" containsString="0" containsNumber="1" containsInteger="1" minValue="0" maxValue="0"/>
    </cacheField>
    <cacheField name="Saldo" numFmtId="165">
      <sharedItems containsSemiMixedTypes="0" containsString="0" containsNumber="1" containsInteger="1" minValue="2000" maxValue="2000"/>
    </cacheField>
    <cacheField name="DespVar1" numFmtId="164">
      <sharedItems containsSemiMixedTypes="0" containsString="0" containsNumber="1" containsInteger="1" minValue="0" maxValue="0"/>
    </cacheField>
    <cacheField name="DespVar2" numFmtId="164">
      <sharedItems containsSemiMixedTypes="0" containsString="0" containsNumber="1" containsInteger="1" minValue="0" maxValue="0"/>
    </cacheField>
    <cacheField name="DespVar3" numFmtId="164">
      <sharedItems containsSemiMixedTypes="0" containsString="0" containsNumber="1" containsInteger="1" minValue="0" maxValue="0"/>
    </cacheField>
    <cacheField name="DespVar4" numFmtId="164">
      <sharedItems containsSemiMixedTypes="0" containsString="0" containsNumber="1" containsInteger="1" minValue="0" maxValue="0"/>
    </cacheField>
    <cacheField name="DespVar5" numFmtId="164">
      <sharedItems containsSemiMixedTypes="0" containsString="0" containsNumber="1" containsInteger="1" minValue="0" maxValue="0"/>
    </cacheField>
    <cacheField name="DespVar6" numFmtId="164">
      <sharedItems containsSemiMixedTypes="0" containsString="0" containsNumber="1" containsInteger="1" minValue="0" maxValue="0"/>
    </cacheField>
    <cacheField name="DespVar7" numFmtId="164">
      <sharedItems containsSemiMixedTypes="0" containsString="0" containsNumber="1" containsInteger="1" minValue="0" maxValue="0"/>
    </cacheField>
    <cacheField name="DespVar8" numFmtId="164">
      <sharedItems containsSemiMixedTypes="0" containsString="0" containsNumber="1" containsInteger="1" minValue="0" maxValue="0"/>
    </cacheField>
    <cacheField name="DespVar9" numFmtId="164">
      <sharedItems containsSemiMixedTypes="0" containsString="0" containsNumber="1" containsInteger="1" minValue="0" maxValue="0"/>
    </cacheField>
    <cacheField name="DespVar10" numFmtId="164">
      <sharedItems containsSemiMixedTypes="0" containsString="0" containsNumber="1" containsInteger="1" minValue="0" maxValue="0"/>
    </cacheField>
    <cacheField name="D1" numFmtId="0">
      <sharedItems containsSemiMixedTypes="0" containsString="0" containsNumber="1" containsInteger="1" minValue="0" maxValue="0"/>
    </cacheField>
    <cacheField name="D2" numFmtId="0">
      <sharedItems containsSemiMixedTypes="0" containsString="0" containsNumber="1" containsInteger="1" minValue="0" maxValue="0"/>
    </cacheField>
    <cacheField name="D3" numFmtId="0">
      <sharedItems containsSemiMixedTypes="0" containsString="0" containsNumber="1" containsInteger="1" minValue="0" maxValue="0"/>
    </cacheField>
    <cacheField name="D4" numFmtId="0">
      <sharedItems containsSemiMixedTypes="0" containsString="0" containsNumber="1" containsInteger="1" minValue="0" maxValue="0"/>
    </cacheField>
    <cacheField name="D5" numFmtId="0">
      <sharedItems containsSemiMixedTypes="0" containsString="0" containsNumber="1" containsInteger="1" minValue="0" maxValue="0"/>
    </cacheField>
    <cacheField name="D6" numFmtId="0">
      <sharedItems containsSemiMixedTypes="0" containsString="0" containsNumber="1" containsInteger="1" minValue="0" maxValue="0"/>
    </cacheField>
    <cacheField name="D7" numFmtId="0">
      <sharedItems containsSemiMixedTypes="0" containsString="0" containsNumber="1" containsInteger="1" minValue="0" maxValue="0"/>
    </cacheField>
    <cacheField name="D8" numFmtId="0">
      <sharedItems containsSemiMixedTypes="0" containsString="0" containsNumber="1" containsInteger="1" minValue="0" maxValue="0"/>
    </cacheField>
    <cacheField name="D9" numFmtId="0">
      <sharedItems containsSemiMixedTypes="0" containsString="0" containsNumber="1" containsInteger="1" minValue="0" maxValue="0"/>
    </cacheField>
    <cacheField name="D10" numFmtId="0">
      <sharedItems containsSemiMixedTypes="0" containsString="0" containsNumber="1" containsInteger="1" minValue="0" maxValue="0"/>
    </cacheField>
    <cacheField name="DespFixa1" numFmtId="0">
      <sharedItems containsSemiMixedTypes="0" containsString="0" containsNumber="1" containsInteger="1" minValue="0" maxValue="0"/>
    </cacheField>
    <cacheField name="DespFixa2" numFmtId="0">
      <sharedItems containsSemiMixedTypes="0" containsString="0" containsNumber="1" containsInteger="1" minValue="0" maxValue="0"/>
    </cacheField>
    <cacheField name="DespFixa3" numFmtId="0">
      <sharedItems containsSemiMixedTypes="0" containsString="0" containsNumber="1" containsInteger="1" minValue="0" maxValue="0"/>
    </cacheField>
    <cacheField name="DespFixa4" numFmtId="0">
      <sharedItems containsSemiMixedTypes="0" containsString="0" containsNumber="1" containsInteger="1" minValue="0" maxValue="0"/>
    </cacheField>
    <cacheField name="DespFixa5" numFmtId="0">
      <sharedItems containsSemiMixedTypes="0" containsString="0" containsNumber="1" containsInteger="1" minValue="0" maxValue="0"/>
    </cacheField>
    <cacheField name="DespFixa6" numFmtId="0">
      <sharedItems containsSemiMixedTypes="0" containsString="0" containsNumber="1" containsInteger="1" minValue="0" maxValue="0"/>
    </cacheField>
    <cacheField name="DespFixa7" numFmtId="0">
      <sharedItems containsSemiMixedTypes="0" containsString="0" containsNumber="1" containsInteger="1" minValue="0" maxValue="0"/>
    </cacheField>
    <cacheField name="DespFixa8" numFmtId="0">
      <sharedItems containsSemiMixedTypes="0" containsString="0" containsNumber="1" containsInteger="1" minValue="0" maxValue="0"/>
    </cacheField>
    <cacheField name="DespFixa9" numFmtId="0">
      <sharedItems containsSemiMixedTypes="0" containsString="0" containsNumber="1" containsInteger="1" minValue="0" maxValue="0"/>
    </cacheField>
    <cacheField name="DespFixa10" numFmtId="0">
      <sharedItems containsSemiMixedTypes="0" containsString="0" containsNumber="1" containsInteger="1" minValue="0" maxValue="0"/>
    </cacheField>
    <cacheField name="Campo1" numFmtId="0" formula="Mês" databaseField="0"/>
  </cacheFields>
  <extLst>
    <ext xmlns:x14="http://schemas.microsoft.com/office/spreadsheetml/2009/9/main" uri="{725AE2AE-9491-48be-B2B4-4EB974FC3084}">
      <x14:pivotCacheDefinition pivotCacheId="91848587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2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5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7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9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0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1"/>
    <n v="2000"/>
    <n v="0"/>
    <n v="0"/>
    <n v="0"/>
    <n v="0"/>
    <n v="0"/>
    <n v="0"/>
    <n v="0"/>
    <n v="0"/>
    <n v="0"/>
    <n v="0"/>
    <n v="200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13340E-0AE9-5C48-A286-E562240A7747}" name="Tabela dinâmica3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2">
  <location ref="B20:AR22" firstHeaderRow="0" firstDataRow="1" firstDataCol="1"/>
  <pivotFields count="44">
    <pivotField axis="axisRow"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numFmtId="164" showAll="0"/>
    <pivotField dataField="1" numFmtId="164" showAll="0"/>
    <pivotField dataField="1" numFmtId="165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0"/>
  </rowFields>
  <rowItems count="2">
    <i>
      <x/>
    </i>
    <i t="grand">
      <x/>
    </i>
  </rowItems>
  <colFields count="1">
    <field x="-2"/>
  </colFields>
  <colItems count="4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  <i i="36">
      <x v="36"/>
    </i>
    <i i="37">
      <x v="37"/>
    </i>
    <i i="38">
      <x v="38"/>
    </i>
    <i i="39">
      <x v="39"/>
    </i>
    <i i="40">
      <x v="40"/>
    </i>
    <i i="41">
      <x v="41"/>
    </i>
  </colItems>
  <dataFields count="42">
    <dataField name="Soma de Receita" fld="1" baseField="0" baseItem="0"/>
    <dataField name="Soma de Despesa Fixa" fld="2" baseField="0" baseItem="0"/>
    <dataField name="Soma de Despesa Variável" fld="3" baseField="0" baseItem="0"/>
    <dataField name="Soma de Total Despesas" fld="4" baseField="0" baseItem="0"/>
    <dataField name="Soma de Investimento 1" fld="5" baseField="0" baseItem="0"/>
    <dataField name="Soma de Investimento 2" fld="6" baseField="0" baseItem="0"/>
    <dataField name="Soma de Investimento 3" fld="7" baseField="0" baseItem="0"/>
    <dataField name="Soma de Investimento 4" fld="8" baseField="0" baseItem="0"/>
    <dataField name="Soma de Investimento 5" fld="9" baseField="0" baseItem="0"/>
    <dataField name="Soma de Total Investimentos" fld="10" baseField="0" baseItem="0"/>
    <dataField name="Soma de Outros" fld="11" baseField="0" baseItem="0"/>
    <dataField name="Soma de Saldo" fld="12" baseField="0" baseItem="0"/>
    <dataField name="Soma de DespVar1" fld="13" baseField="0" baseItem="0"/>
    <dataField name="Soma de DespVar2" fld="14" baseField="0" baseItem="0"/>
    <dataField name="Soma de DespVar3" fld="15" baseField="0" baseItem="0"/>
    <dataField name="Soma de DespVar4" fld="16" baseField="0" baseItem="0"/>
    <dataField name="Soma de DespVar5" fld="17" baseField="0" baseItem="0"/>
    <dataField name="Soma de DespVar6" fld="18" baseField="0" baseItem="0"/>
    <dataField name="Soma de DespVar7" fld="19" baseField="0" baseItem="0"/>
    <dataField name="Soma de DespVar8" fld="20" baseField="0" baseItem="0"/>
    <dataField name="Soma de DespVar9" fld="21" baseField="0" baseItem="0"/>
    <dataField name="Soma de DespVar10" fld="22" baseField="0" baseItem="0"/>
    <dataField name="Soma de D1" fld="23" baseField="0" baseItem="0"/>
    <dataField name="Soma de D2" fld="24" baseField="0" baseItem="0"/>
    <dataField name="Soma de D3" fld="25" baseField="0" baseItem="0"/>
    <dataField name="Soma de D4" fld="26" baseField="0" baseItem="0"/>
    <dataField name="Soma de D5" fld="27" baseField="0" baseItem="0"/>
    <dataField name="Soma de D6" fld="28" baseField="0" baseItem="0"/>
    <dataField name="Soma de D7" fld="29" baseField="0" baseItem="0"/>
    <dataField name="Soma de D8" fld="30" baseField="0" baseItem="0"/>
    <dataField name="Soma de D9" fld="31" baseField="0" baseItem="0"/>
    <dataField name="Soma de D10" fld="32" baseField="0" baseItem="0"/>
    <dataField name="Soma de DespFixa1" fld="33" baseField="0" baseItem="0"/>
    <dataField name="Soma de DespFixa2" fld="34" baseField="0" baseItem="0"/>
    <dataField name="Soma de DespFixa3" fld="35" baseField="0" baseItem="0"/>
    <dataField name="Soma de DespFixa4" fld="36" baseField="0" baseItem="0"/>
    <dataField name="Soma de DespFixa5" fld="37" baseField="0" baseItem="0"/>
    <dataField name="Soma de DespFixa6" fld="38" baseField="0" baseItem="0"/>
    <dataField name="Soma de DespFixa7" fld="39" baseField="0" baseItem="0"/>
    <dataField name="Soma de DespFixa8" fld="40" baseField="0" baseItem="0"/>
    <dataField name="Soma de DespFixa9" fld="41" baseField="0" baseItem="0"/>
    <dataField name="Soma de DespFixa10" fld="42" baseField="0" baseItem="0"/>
  </dataFields>
  <formats count="15">
    <format dxfId="252">
      <pivotArea type="all" dataOnly="0" outline="0" fieldPosition="0"/>
    </format>
    <format dxfId="251">
      <pivotArea outline="0" collapsedLevelsAreSubtotals="1" fieldPosition="0"/>
    </format>
    <format dxfId="250">
      <pivotArea field="0" type="button" dataOnly="0" labelOnly="1" outline="0" axis="axisRow" fieldPosition="0"/>
    </format>
    <format dxfId="249">
      <pivotArea dataOnly="0" labelOnly="1" fieldPosition="0">
        <references count="1">
          <reference field="0" count="0"/>
        </references>
      </pivotArea>
    </format>
    <format dxfId="248">
      <pivotArea dataOnly="0" labelOnly="1" grandRow="1" outline="0" fieldPosition="0"/>
    </format>
    <format dxfId="247">
      <pivotArea dataOnly="0" labelOnly="1" outline="0" fieldPosition="0">
        <references count="1">
          <reference field="4294967294" count="42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</reference>
        </references>
      </pivotArea>
    </format>
    <format dxfId="246">
      <pivotArea collapsedLevelsAreSubtotals="1" fieldPosition="0">
        <references count="1">
          <reference field="0" count="0"/>
        </references>
      </pivotArea>
    </format>
    <format dxfId="245">
      <pivotArea collapsedLevelsAreSubtotals="1" fieldPosition="0">
        <references count="2">
          <reference field="4294967294" count="1" selected="0">
            <x v="11"/>
          </reference>
          <reference field="0" count="0"/>
        </references>
      </pivotArea>
    </format>
    <format dxfId="244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243">
      <pivotArea outline="0" collapsedLevelsAreSubtotals="1" fieldPosition="0">
        <references count="1">
          <reference field="4294967294" count="1" selected="0">
            <x v="12"/>
          </reference>
        </references>
      </pivotArea>
    </format>
    <format dxfId="242">
      <pivotArea dataOnly="0" labelOnly="1" outline="0" fieldPosition="0">
        <references count="1">
          <reference field="4294967294" count="1">
            <x v="12"/>
          </reference>
        </references>
      </pivotArea>
    </format>
    <format dxfId="241">
      <pivotArea outline="0" collapsedLevelsAreSubtotals="1" fieldPosition="0">
        <references count="1">
          <reference field="4294967294" count="3" selected="0">
            <x v="4"/>
            <x v="5"/>
            <x v="6"/>
          </reference>
        </references>
      </pivotArea>
    </format>
    <format dxfId="240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239">
      <pivotArea outline="0" collapsedLevelsAreSubtotals="1" fieldPosition="0">
        <references count="1">
          <reference field="4294967294" count="4" selected="0">
            <x v="8"/>
            <x v="9"/>
            <x v="10"/>
            <x v="11"/>
          </reference>
        </references>
      </pivotArea>
    </format>
    <format dxfId="238">
      <pivotArea dataOnly="0" labelOnly="1" outline="0" fieldPosition="0">
        <references count="1">
          <reference field="4294967294" count="4">
            <x v="8"/>
            <x v="9"/>
            <x v="10"/>
            <x v="11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989D9C5-CFFE-8447-85C6-0559AF34C34F}" name="Tabela dinâmica2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F25:G35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numFmtId="164" showAll="0"/>
    <pivotField numFmtId="164" showAll="0"/>
    <pivotField numFmtId="165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10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</rowItems>
  <colItems count="1">
    <i/>
  </colItems>
  <dataFields count="10">
    <dataField name="Soma de DespVar1" fld="13" baseField="0" baseItem="0"/>
    <dataField name="Soma de DespVar2" fld="14" baseField="0" baseItem="0"/>
    <dataField name="Soma de DespVar3" fld="15" baseField="0" baseItem="0"/>
    <dataField name="Soma de DespVar4" fld="16" baseField="0" baseItem="0"/>
    <dataField name="Soma de DespVar5" fld="17" baseField="0" baseItem="0"/>
    <dataField name="Soma de DespVar6" fld="18" baseField="0" baseItem="0"/>
    <dataField name="Soma de DespVar7" fld="19" baseField="0" baseItem="0"/>
    <dataField name="Soma de DespVar8" fld="20" baseField="0" baseItem="0"/>
    <dataField name="Soma de DespVar9" fld="21" baseField="0" baseItem="0"/>
    <dataField name="Soma de DespVar10" fld="22" baseField="0" baseItem="0"/>
  </dataFields>
  <formats count="12">
    <format dxfId="264">
      <pivotArea outline="0" collapsedLevelsAreSubtotals="1" fieldPosition="0"/>
    </format>
    <format dxfId="263">
      <pivotArea type="all" dataOnly="0" outline="0" fieldPosition="0"/>
    </format>
    <format dxfId="262">
      <pivotArea outline="0" collapsedLevelsAreSubtotals="1" fieldPosition="0"/>
    </format>
    <format dxfId="261">
      <pivotArea outline="0" collapsedLevelsAreSubtotals="1" fieldPosition="0"/>
    </format>
    <format dxfId="260">
      <pivotArea outline="0" collapsedLevelsAreSubtotals="1" fieldPosition="0"/>
    </format>
    <format dxfId="259">
      <pivotArea collapsedLevelsAreSubtotals="1" fieldPosition="0">
        <references count="1">
          <reference field="4294967294" count="5">
            <x v="5"/>
            <x v="6"/>
            <x v="7"/>
            <x v="8"/>
            <x v="9"/>
          </reference>
        </references>
      </pivotArea>
    </format>
    <format dxfId="258">
      <pivotArea dataOnly="0" labelOnly="1" outline="0" fieldPosition="0">
        <references count="1">
          <reference field="4294967294" count="5">
            <x v="5"/>
            <x v="6"/>
            <x v="7"/>
            <x v="8"/>
            <x v="9"/>
          </reference>
        </references>
      </pivotArea>
    </format>
    <format dxfId="257">
      <pivotArea type="all" dataOnly="0" outline="0" fieldPosition="0"/>
    </format>
    <format dxfId="256">
      <pivotArea field="-2" type="button" dataOnly="0" labelOnly="1" outline="0" axis="axisRow" fieldPosition="0"/>
    </format>
    <format dxfId="255">
      <pivotArea dataOnly="0" labelOnly="1" outline="0" fieldPosition="0">
        <references count="1">
          <reference field="4294967294" count="10">
            <x v="0"/>
            <x v="1"/>
            <x v="2"/>
            <x v="3"/>
            <x v="4"/>
            <x v="5"/>
            <x v="6"/>
            <x v="7"/>
            <x v="8"/>
            <x v="9"/>
          </reference>
        </references>
      </pivotArea>
    </format>
    <format dxfId="254">
      <pivotArea outline="0" collapsedLevelsAreSubtotals="1" fieldPosition="0"/>
    </format>
    <format dxfId="253">
      <pivotArea dataOnly="0" labelOnly="1" grandCol="1" outline="0" axis="axisCol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627791-6611-5C49-AA13-525F439D7C71}" name="Tabela dinâmica1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N25:O36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dataField="1"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numFmtId="164" showAll="0"/>
    <pivotField numFmtId="164" showAll="0"/>
    <pivotField numFmtId="165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ragToRow="0" dragToCol="0" dragToPage="0" showAll="0" defaultSubtotal="0"/>
  </pivotFields>
  <rowFields count="1">
    <field x="-2"/>
  </rowFields>
  <rowItems count="11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</rowItems>
  <colItems count="1">
    <i/>
  </colItems>
  <dataFields count="11">
    <dataField name="Soma de DespFixa1" fld="33" baseField="0" baseItem="0"/>
    <dataField name="Soma de DespFixa2" fld="34" baseField="0" baseItem="0"/>
    <dataField name="Soma de DespFixa3" fld="35" baseField="0" baseItem="0"/>
    <dataField name="Soma de DespFixa4" fld="36" baseField="0" baseItem="0"/>
    <dataField name="Soma de DespFixa5" fld="37" baseField="0" baseItem="0"/>
    <dataField name="Soma de DespFixa6" fld="38" baseField="0" baseItem="0"/>
    <dataField name="Soma de DespFixa7" fld="39" baseField="0" baseItem="0"/>
    <dataField name="Soma de DespFixa8" fld="40" baseField="0" baseItem="0"/>
    <dataField name="Soma de DespFixa9" fld="41" baseField="0" baseItem="0"/>
    <dataField name="Soma de DespFixa10" fld="42" baseField="0" baseItem="0"/>
    <dataField name="Soma de Despesa Fixa" fld="2" baseField="0" baseItem="0"/>
  </dataFields>
  <formats count="17">
    <format dxfId="281">
      <pivotArea outline="0" collapsedLevelsAreSubtotals="1" fieldPosition="0"/>
    </format>
    <format dxfId="280">
      <pivotArea type="all" dataOnly="0" outline="0" fieldPosition="0"/>
    </format>
    <format dxfId="279">
      <pivotArea outline="0" collapsedLevelsAreSubtotals="1" fieldPosition="0"/>
    </format>
    <format dxfId="278">
      <pivotArea outline="0" collapsedLevelsAreSubtotals="1" fieldPosition="0"/>
    </format>
    <format dxfId="277">
      <pivotArea outline="0" collapsedLevelsAreSubtotals="1" fieldPosition="0"/>
    </format>
    <format dxfId="276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275">
      <pivotArea collapsedLevelsAreSubtotals="1" fieldPosition="0">
        <references count="1">
          <reference field="4294967294" count="1">
            <x v="10"/>
          </reference>
        </references>
      </pivotArea>
    </format>
    <format dxfId="274">
      <pivotArea collapsedLevelsAreSubtotals="1" fieldPosition="0">
        <references count="1">
          <reference field="4294967294" count="6">
            <x v="5"/>
            <x v="6"/>
            <x v="7"/>
            <x v="8"/>
            <x v="9"/>
            <x v="10"/>
          </reference>
        </references>
      </pivotArea>
    </format>
    <format dxfId="273">
      <pivotArea dataOnly="0" labelOnly="1" outline="0" fieldPosition="0">
        <references count="1">
          <reference field="4294967294" count="6">
            <x v="5"/>
            <x v="6"/>
            <x v="7"/>
            <x v="8"/>
            <x v="9"/>
            <x v="10"/>
          </reference>
        </references>
      </pivotArea>
    </format>
    <format dxfId="272">
      <pivotArea type="all" dataOnly="0" outline="0" fieldPosition="0"/>
    </format>
    <format dxfId="271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  <format dxfId="270">
      <pivotArea collapsedLevelsAreSubtotals="1" fieldPosition="0">
        <references count="1">
          <reference field="4294967294" count="1">
            <x v="10"/>
          </reference>
        </references>
      </pivotArea>
    </format>
    <format dxfId="269">
      <pivotArea dataOnly="0" labelOnly="1" outline="0" fieldPosition="0">
        <references count="1">
          <reference field="4294967294" count="1">
            <x v="10"/>
          </reference>
        </references>
      </pivotArea>
    </format>
    <format dxfId="268">
      <pivotArea outline="0" collapsedLevelsAreSubtotals="1" fieldPosition="0"/>
    </format>
    <format dxfId="267">
      <pivotArea dataOnly="0" labelOnly="1" grandCol="1" outline="0" axis="axisCol" fieldPosition="0"/>
    </format>
    <format dxfId="266">
      <pivotArea field="-2" type="button" dataOnly="0" labelOnly="1" outline="0" axis="axisRow" fieldPosition="0"/>
    </format>
    <format dxfId="265">
      <pivotArea dataOnly="0" labelOnly="1" outline="0" fieldPosition="0">
        <references count="1">
          <reference field="4294967294" count="11">
            <x v="0"/>
            <x v="1"/>
            <x v="2"/>
            <x v="3"/>
            <x v="4"/>
            <x v="5"/>
            <x v="6"/>
            <x v="7"/>
            <x v="8"/>
            <x v="9"/>
            <x v="10"/>
          </reference>
        </references>
      </pivotArea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4EA524-D518-894A-9485-BF0B8050B7CF}" name="Tabela dinâmica5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J25:K31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numFmtId="164" showAll="0"/>
    <pivotField numFmtId="164" showAll="0"/>
    <pivotField numFmtId="164" showAll="0"/>
    <pivotField dataField="1" numFmtId="164" showAll="0"/>
    <pivotField dataField="1" numFmtId="164" showAll="0"/>
    <pivotField dataField="1" showAll="0"/>
    <pivotField dataField="1" showAll="0"/>
    <pivotField dataField="1" showAll="0"/>
    <pivotField dataField="1" numFmtId="164" showAll="0"/>
    <pivotField numFmtId="164" showAll="0"/>
    <pivotField numFmtId="165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6">
    <i>
      <x/>
    </i>
    <i i="1">
      <x v="1"/>
    </i>
    <i i="2">
      <x v="2"/>
    </i>
    <i i="3">
      <x v="3"/>
    </i>
    <i i="4">
      <x v="4"/>
    </i>
    <i i="5">
      <x v="5"/>
    </i>
  </rowItems>
  <colItems count="1">
    <i/>
  </colItems>
  <dataFields count="6">
    <dataField name="Soma de Investimento 1" fld="5" baseField="0" baseItem="0"/>
    <dataField name="Soma de Investimento 2" fld="6" baseField="0" baseItem="0"/>
    <dataField name="Soma de Investimento 3" fld="7" baseField="0" baseItem="0"/>
    <dataField name="Soma de Investimento 4" fld="8" baseField="0" baseItem="0"/>
    <dataField name="Soma de Investimento 5" fld="9" baseField="0" baseItem="0"/>
    <dataField name="Soma de Total Investimentos" fld="10" baseField="0" baseItem="0"/>
  </dataFields>
  <formats count="12">
    <format dxfId="293">
      <pivotArea outline="0" collapsedLevelsAreSubtotals="1" fieldPosition="0"/>
    </format>
    <format dxfId="292">
      <pivotArea type="all" dataOnly="0" outline="0" fieldPosition="0"/>
    </format>
    <format dxfId="291">
      <pivotArea collapsedLevelsAreSubtotals="1" fieldPosition="0">
        <references count="1">
          <reference field="4294967294" count="1">
            <x v="5"/>
          </reference>
        </references>
      </pivotArea>
    </format>
    <format dxfId="290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9">
      <pivotArea collapsedLevelsAreSubtotals="1" fieldPosition="0">
        <references count="1">
          <reference field="4294967294" count="1">
            <x v="5"/>
          </reference>
        </references>
      </pivotArea>
    </format>
    <format dxfId="288">
      <pivotArea type="all" dataOnly="0" outline="0" fieldPosition="0"/>
    </format>
    <format dxfId="287">
      <pivotArea field="-2" type="button" dataOnly="0" labelOnly="1" outline="0" axis="axisRow" fieldPosition="0"/>
    </format>
    <format dxfId="286">
      <pivotArea dataOnly="0" labelOnly="1" outline="0" fieldPosition="0">
        <references count="1">
          <reference field="4294967294" count="6">
            <x v="0"/>
            <x v="1"/>
            <x v="2"/>
            <x v="3"/>
            <x v="4"/>
            <x v="5"/>
          </reference>
        </references>
      </pivotArea>
    </format>
    <format dxfId="285">
      <pivotArea collapsedLevelsAreSubtotals="1" fieldPosition="0">
        <references count="1">
          <reference field="4294967294" count="1">
            <x v="5"/>
          </reference>
        </references>
      </pivotArea>
    </format>
    <format dxfId="284">
      <pivotArea dataOnly="0" labelOnly="1" outline="0" fieldPosition="0">
        <references count="1">
          <reference field="4294967294" count="1">
            <x v="5"/>
          </reference>
        </references>
      </pivotArea>
    </format>
    <format dxfId="283">
      <pivotArea outline="0" collapsedLevelsAreSubtotals="1" fieldPosition="0"/>
    </format>
    <format dxfId="282">
      <pivotArea dataOnly="0" labelOnly="1" grandCol="1" outline="0" axis="axisCol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7E2D9CA-576E-0041-8F86-7C97FFCF9731}" name="Tabela dinâmica4" cacheId="1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chartFormat="1">
  <location ref="B25:C29" firstHeaderRow="1" firstDataRow="1" firstDataCol="1"/>
  <pivotFields count="44">
    <pivotField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numFmtId="164" showAll="0"/>
    <pivotField dataField="1" numFmtId="164" showAll="0"/>
    <pivotField dataField="1" numFmtId="164" showAll="0"/>
    <pivotField numFmtId="164" showAll="0"/>
    <pivotField numFmtId="164" showAll="0"/>
    <pivotField numFmtId="164" showAll="0"/>
    <pivotField showAll="0"/>
    <pivotField showAll="0"/>
    <pivotField showAll="0"/>
    <pivotField dataField="1" numFmtId="164" showAll="0"/>
    <pivotField dataField="1" numFmtId="164" showAll="0"/>
    <pivotField numFmtId="165" showAll="0"/>
    <pivotField numFmtId="164" showAll="0"/>
    <pivotField numFmtId="164" showAll="0"/>
    <pivotField numFmtId="164" showAll="0"/>
    <pivotField numFmtId="164" showAll="0"/>
    <pivotField numFmtId="16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-2"/>
  </rowFields>
  <rowItems count="4">
    <i>
      <x/>
    </i>
    <i i="1">
      <x v="1"/>
    </i>
    <i i="2">
      <x v="2"/>
    </i>
    <i i="3">
      <x v="3"/>
    </i>
  </rowItems>
  <colItems count="1">
    <i/>
  </colItems>
  <dataFields count="4">
    <dataField name="Soma de Despesa Fixa" fld="2" baseField="0" baseItem="0"/>
    <dataField name="Soma de Despesa Variável" fld="3" baseField="0" baseItem="0"/>
    <dataField name="Soma de Outros" fld="11" baseField="0" baseItem="0"/>
    <dataField name="Soma de Total Investimentos" fld="10" baseField="0" baseItem="0"/>
  </dataFields>
  <formats count="8">
    <format dxfId="301">
      <pivotArea outline="0" collapsedLevelsAreSubtotals="1" fieldPosition="0"/>
    </format>
    <format dxfId="300">
      <pivotArea type="all" dataOnly="0" outline="0" fieldPosition="0"/>
    </format>
    <format dxfId="299">
      <pivotArea outline="0" collapsedLevelsAreSubtotals="1" fieldPosition="0"/>
    </format>
    <format dxfId="298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297">
      <pivotArea collapsedLevelsAreSubtotals="1" fieldPosition="0">
        <references count="1">
          <reference field="4294967294" count="3">
            <x v="0"/>
            <x v="1"/>
            <x v="2"/>
          </reference>
        </references>
      </pivotArea>
    </format>
    <format dxfId="296">
      <pivotArea field="-2" type="button" dataOnly="0" labelOnly="1" outline="0" axis="axisRow" fieldPosition="0"/>
    </format>
    <format dxfId="29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294">
      <pivotArea dataOnly="0" labelOnly="1" grandCol="1" outline="0" axis="axisCol" fieldPosition="0"/>
    </format>
  </format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1" xr10:uid="{EBE62349-9CF6-4A06-BF6E-B834D08E135D}" sourceName="Mês">
  <pivotTables>
    <pivotTable tabId="4" name="Tabela dinâmica3"/>
    <pivotTable tabId="4" name="Tabela dinâmica4"/>
    <pivotTable tabId="4" name="Tabela dinâmica2"/>
    <pivotTable tabId="4" name="Tabela dinâmica5"/>
    <pivotTable tabId="4" name="Tabela dinâmica1"/>
  </pivotTables>
  <data>
    <tabular pivotCacheId="918485871">
      <items count="12">
        <i x="0" s="1"/>
        <i x="1"/>
        <i x="2"/>
        <i x="3"/>
        <i x="4"/>
        <i x="5"/>
        <i x="6"/>
        <i x="7"/>
        <i x="8"/>
        <i x="9"/>
        <i x="10"/>
        <i x="1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05402573-CDDE-47CD-9142-2E3750F2937A}" sourceName="Mês">
  <data>
    <tabular pivotCacheId="918485871">
      <items count="12">
        <i x="0"/>
        <i x="1"/>
        <i x="2"/>
        <i x="3"/>
        <i x="4"/>
        <i x="5"/>
        <i x="6"/>
        <i x="7"/>
        <i x="8"/>
        <i x="9"/>
        <i x="10"/>
        <i x="11" s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1" xr10:uid="{5D1DD608-AF41-462D-9024-B045D49A7AFA}" cache="SegmentaçãodeDados_Mês1" caption="Mês" columnCount="6" showCaption="0" style="Personalizado 2" rowHeight="251882"/>
  <slicer name="Mês" xr10:uid="{CC6EDCED-AF28-417A-A661-B9CB767D1ED1}" cache="SegmentaçãodeDados_Mês" caption="Mês" columnCount="6" showCaption="0" style="Personalizado" rowHeight="251882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4517BC5-764F-4E1E-AA19-2129D2DFF3D1}" name="JanDF" displayName="JanDF" ref="F6:I103" headerRowCount="0" totalsRowShown="0" headerRowDxfId="236" dataDxfId="235">
  <tableColumns count="4">
    <tableColumn id="1" xr3:uid="{038C7768-1384-4A67-9111-605684494D6D}" name="Coluna1" dataDxfId="234"/>
    <tableColumn id="2" xr3:uid="{C6BC0E71-1FEE-4AE2-B46B-6363039C4705}" name="Coluna2" headerRowDxfId="233" dataDxfId="232"/>
    <tableColumn id="3" xr3:uid="{D3179B9A-DF61-417E-B3A4-81B7E8EBE1AE}" name="Coluna3" headerRowDxfId="231" dataDxfId="230"/>
    <tableColumn id="4" xr3:uid="{0DFC5519-E79D-4C63-A62A-749B01E072E6}" name="Coluna4" headerRowDxfId="229" dataDxfId="228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64BC0F9-2D1E-4C5F-BC91-2FC5D77FDCBF}" name="JanDV" displayName="JanDV" ref="K6:N500" headerRowCount="0" totalsRowShown="0" headerRowDxfId="227" dataDxfId="226">
  <tableColumns count="4">
    <tableColumn id="1" xr3:uid="{7398ACFB-7698-4611-85C3-0439DCBC3E09}" name="Coluna1" headerRowDxfId="225" dataDxfId="224"/>
    <tableColumn id="2" xr3:uid="{340CD857-D9FD-4B90-9C5B-096D4FE6DDCB}" name="Coluna2" headerRowDxfId="223" dataDxfId="222"/>
    <tableColumn id="3" xr3:uid="{8E96CD24-1723-44A7-97A0-57834DF81F90}" name="Coluna3" headerRowDxfId="221" dataDxfId="220"/>
    <tableColumn id="4" xr3:uid="{294C4AA3-9E35-4218-9535-1543473D4EA2}" name="Coluna4" headerRowDxfId="219" dataDxfId="218"/>
  </tableColumns>
  <tableStyleInfo name="TableStyleDark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81E2289-5774-4368-B1B8-B2DD25D85DC2}" name="FevDF" displayName="FevDF" ref="F6:I103" headerRowCount="0" totalsRowShown="0" headerRowDxfId="216" dataDxfId="215">
  <tableColumns count="4">
    <tableColumn id="1" xr3:uid="{D0A02F74-E139-4637-AC3A-D47D12681AEA}" name="Coluna1" dataDxfId="214"/>
    <tableColumn id="2" xr3:uid="{CC68E279-C19E-4C94-A7B3-2B8406686365}" name="Coluna2" headerRowDxfId="213" dataDxfId="212"/>
    <tableColumn id="3" xr3:uid="{775DD1E7-C2F8-4B96-AB35-6848360DE2BB}" name="Coluna3" headerRowDxfId="211" dataDxfId="210"/>
    <tableColumn id="4" xr3:uid="{B9607964-8392-40A0-8CF8-3B0C959D3749}" name="Coluna4" headerRowDxfId="209" dataDxfId="208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FA6E64A-F9B4-494E-943E-426B7567536F}" name="MarDF" displayName="MarDF" ref="F6:I103" headerRowCount="0" totalsRowShown="0" headerRowDxfId="206" dataDxfId="205">
  <tableColumns count="4">
    <tableColumn id="1" xr3:uid="{BBB36B8F-30BD-4160-B0A4-B1DCC3C60416}" name="Coluna1" dataDxfId="204"/>
    <tableColumn id="2" xr3:uid="{E5C46EDC-7E0A-4382-80ED-D0CDE437C1AE}" name="Coluna2" headerRowDxfId="203" dataDxfId="202"/>
    <tableColumn id="3" xr3:uid="{105F4C57-FE24-47F6-B928-12C84898F0EB}" name="Coluna3" headerRowDxfId="201" dataDxfId="200"/>
    <tableColumn id="4" xr3:uid="{0DCA2254-AE39-4532-A02A-B74337C2452E}" name="Coluna4" headerRowDxfId="199" dataDxfId="198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78B0F50A-2A44-419D-8B32-F65A9D86E735}" name="MarDV" displayName="MarDV" ref="K6:N500" headerRowCount="0" totalsRowShown="0" headerRowDxfId="197" dataDxfId="196">
  <tableColumns count="4">
    <tableColumn id="1" xr3:uid="{FD0A5506-928A-4ED3-AD0E-F370D18E0EC6}" name="Coluna1" headerRowDxfId="195" dataDxfId="194"/>
    <tableColumn id="2" xr3:uid="{B611A4EA-FFF2-4978-A8D0-306228811E06}" name="Coluna2" headerRowDxfId="193" dataDxfId="192"/>
    <tableColumn id="3" xr3:uid="{86204216-3EE5-447D-AB71-38EDEE6D861C}" name="Coluna3" headerRowDxfId="191" dataDxfId="190"/>
    <tableColumn id="4" xr3:uid="{AD850A58-EAE6-4756-9D52-2BC6A6D503AD}" name="Coluna4" headerRowDxfId="189" dataDxfId="188"/>
  </tableColumns>
  <tableStyleInfo name="TableStyleDark10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F4AFC1C-348F-4EF7-8828-4758DCA632DE}" name="AbrDF" displayName="AbrDF" ref="F6:I103" headerRowCount="0" totalsRowShown="0" headerRowDxfId="186" dataDxfId="185">
  <tableColumns count="4">
    <tableColumn id="1" xr3:uid="{5A6CA076-2C62-4EF3-847C-6211D51FCD38}" name="Coluna1" dataDxfId="184"/>
    <tableColumn id="2" xr3:uid="{592EA4BB-71D0-4269-83F3-57B8CD14626D}" name="Coluna2" headerRowDxfId="183" dataDxfId="182"/>
    <tableColumn id="3" xr3:uid="{F24DAF88-AB8A-4C58-B2BF-2930737E4EE1}" name="Coluna3" headerRowDxfId="181" dataDxfId="180"/>
    <tableColumn id="4" xr3:uid="{92FC6F5F-E374-4914-81EA-A54EA0DA676C}" name="Coluna4" headerRowDxfId="179" dataDxfId="178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646DC4F-609D-4B7A-B7D9-6A0DFF1F8880}" name="AbrDV" displayName="AbrDV" ref="K6:N500" headerRowCount="0" totalsRowShown="0" headerRowDxfId="177" dataDxfId="176">
  <tableColumns count="4">
    <tableColumn id="1" xr3:uid="{5B1CDE61-3B8B-4B3C-8DAE-08BD55C958E0}" name="Coluna1" headerRowDxfId="175" dataDxfId="174"/>
    <tableColumn id="2" xr3:uid="{BD7B9AFF-416F-4E53-9032-2ADB40F38DE5}" name="Coluna2" headerRowDxfId="173" dataDxfId="172"/>
    <tableColumn id="3" xr3:uid="{FB9454DB-B112-4131-82B4-4DD42506839F}" name="Coluna3" headerRowDxfId="171" dataDxfId="170"/>
    <tableColumn id="4" xr3:uid="{238329E1-B7A5-4FD9-957B-3A86F0C548BC}" name="Coluna4" headerRowDxfId="169" dataDxfId="168"/>
  </tableColumns>
  <tableStyleInfo name="TableStyleDark10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72F17F70-14A9-46F4-9354-4D7A4465B40D}" name="MaiDF" displayName="MaiDF" ref="F6:I103" headerRowCount="0" totalsRowShown="0" headerRowDxfId="166" dataDxfId="165">
  <tableColumns count="4">
    <tableColumn id="1" xr3:uid="{EDDA070A-8A3A-4E4C-82BB-C15E8EC67D19}" name="Coluna1" dataDxfId="164"/>
    <tableColumn id="2" xr3:uid="{C03E70E7-440A-4AC5-9D37-763E9934B359}" name="Coluna2" headerRowDxfId="163" dataDxfId="162"/>
    <tableColumn id="3" xr3:uid="{50D90613-5D76-4648-8890-A91CE4612EEA}" name="Coluna3" headerRowDxfId="161" dataDxfId="160"/>
    <tableColumn id="4" xr3:uid="{DEF0FC85-B8D0-4326-9AB8-7EF24CA5B000}" name="Coluna4" headerRowDxfId="159" dataDxfId="158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A5689DCD-FB89-4CCD-9F6B-D373924014EF}" name="MaiAnotacoes" displayName="MaiAnotacoes" ref="P31:Q42" headerRowCount="0" totalsRowShown="0" headerRowDxfId="157" dataDxfId="156">
  <tableColumns count="2">
    <tableColumn id="1" xr3:uid="{1BA6D779-DA64-4216-A887-943205A95CB4}" name="Coluna1" headerRowDxfId="155" dataDxfId="154"/>
    <tableColumn id="2" xr3:uid="{515AB3BC-D971-46EA-BD0B-2BAB2D3EC035}" name="Coluna2" headerRowDxfId="153" dataDxfId="152"/>
  </tableColumns>
  <tableStyleInfo name="TableStyleDark10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AF8006B-55D6-6247-B378-6046D307F221}" name="JunDF" displayName="JunDF" ref="F6:I103" headerRowCount="0" totalsRowShown="0" headerRowDxfId="150" dataDxfId="149">
  <tableColumns count="4">
    <tableColumn id="1" xr3:uid="{EC32CE3B-F4F5-E148-A33F-567046BA608C}" name="Coluna1" dataDxfId="148"/>
    <tableColumn id="2" xr3:uid="{5036E10F-5E99-F64F-8B00-3660844891B8}" name="Coluna2" headerRowDxfId="147" dataDxfId="146"/>
    <tableColumn id="3" xr3:uid="{CEF2F51E-47E8-3748-B101-0D12693E85D1}" name="Coluna3" headerRowDxfId="145" dataDxfId="144"/>
    <tableColumn id="4" xr3:uid="{42F206C6-D5C1-DC44-AA01-63D1FA46DBBC}" name="Coluna4" headerRowDxfId="143" dataDxfId="142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766B0A42-7BE7-9F46-8B19-075C75A5E629}" name="JunDV" displayName="JunDV" ref="K6:N500" headerRowCount="0" totalsRowShown="0" headerRowDxfId="141" dataDxfId="140">
  <tableColumns count="4">
    <tableColumn id="1" xr3:uid="{73B5DB73-30F6-7844-A128-4CDEFB9232DB}" name="Coluna1" headerRowDxfId="139" dataDxfId="138"/>
    <tableColumn id="2" xr3:uid="{9C6BE8B0-FBF1-1444-B47F-2E226B0E5526}" name="Coluna2" headerRowDxfId="137" dataDxfId="136"/>
    <tableColumn id="3" xr3:uid="{457420AE-02F9-E145-BA30-B513AF0677AF}" name="Coluna3" headerRowDxfId="135" dataDxfId="134"/>
    <tableColumn id="4" xr3:uid="{667B4F48-A9E4-BE4A-9766-014BE8FCD216}" name="Coluna4" headerRowDxfId="133" dataDxfId="132"/>
  </tableColumns>
  <tableStyleInfo name="TableStyleDark10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C0640DD7-67E4-244B-903B-F5FE2D05CB19}" name="JulDF" displayName="JulDF" ref="F6:I103" headerRowCount="0" totalsRowShown="0" headerRowDxfId="130" dataDxfId="129">
  <tableColumns count="4">
    <tableColumn id="1" xr3:uid="{18F3E303-E142-784A-A55E-F4ADDB532167}" name="Coluna1" dataDxfId="128"/>
    <tableColumn id="2" xr3:uid="{6EA9F6F9-0222-1549-9BEF-9B227562BF2D}" name="Coluna2" headerRowDxfId="127" dataDxfId="126"/>
    <tableColumn id="3" xr3:uid="{86A35032-09B4-5742-BD0C-5A425E1C6755}" name="Coluna3" headerRowDxfId="125" dataDxfId="124"/>
    <tableColumn id="4" xr3:uid="{DA3B190B-2EFA-A843-87FE-7DC0D2043D7F}" name="Coluna4" headerRowDxfId="123" dataDxfId="12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BE14889-358F-0C49-8CF1-AC069D1498A3}" name="JulDV" displayName="JulDV" ref="K6:N500" headerRowCount="0" totalsRowShown="0" headerRowDxfId="121" dataDxfId="120">
  <tableColumns count="4">
    <tableColumn id="1" xr3:uid="{BFF60EB3-998E-0341-A3AA-B3811DE29F57}" name="Coluna1" headerRowDxfId="119" dataDxfId="118"/>
    <tableColumn id="2" xr3:uid="{B4CD09FC-54F6-D74E-8D0D-F6F50BEE55B3}" name="Coluna2" headerRowDxfId="117" dataDxfId="116"/>
    <tableColumn id="3" xr3:uid="{E106A10E-EDC2-8144-B9DF-0456C76ADE61}" name="Coluna3" headerRowDxfId="115" dataDxfId="114"/>
    <tableColumn id="4" xr3:uid="{4AB4F463-83A4-CE48-9494-1A48D8B3A735}" name="Coluna4" headerRowDxfId="113" dataDxfId="112"/>
  </tableColumns>
  <tableStyleInfo name="TableStyleDark10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59E1C7A-4FF1-A44E-8966-EB8974D2C81F}" name="AgoDF" displayName="AgoDF" ref="F6:I103" headerRowCount="0" totalsRowShown="0" headerRowDxfId="110" dataDxfId="109">
  <tableColumns count="4">
    <tableColumn id="1" xr3:uid="{5D41F459-C2FC-2646-9CA9-0DD137CB0BFF}" name="Coluna1" dataDxfId="108"/>
    <tableColumn id="2" xr3:uid="{FCAE7533-6370-C646-A8ED-86A3B9BCAC4D}" name="Coluna2" headerRowDxfId="107" dataDxfId="106"/>
    <tableColumn id="3" xr3:uid="{5C57BA5F-BBF5-7240-95A9-F24C2272BDB5}" name="Coluna3" headerRowDxfId="105" dataDxfId="104"/>
    <tableColumn id="4" xr3:uid="{81B4AE90-0E24-B544-9E86-56954E9D0B12}" name="Coluna4" headerRowDxfId="103" dataDxfId="102"/>
  </tableColumns>
  <tableStyleInfo name="TableStyleLight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CDAB3186-4D4B-1A41-BDD7-D999E49F8F27}" name="AgoDV" displayName="AgoDV" ref="K6:N500" headerRowCount="0" totalsRowShown="0" headerRowDxfId="101" dataDxfId="100">
  <tableColumns count="4">
    <tableColumn id="1" xr3:uid="{7A2C69FD-6178-3642-B069-A33CCAABF8B4}" name="Coluna1" headerRowDxfId="99" dataDxfId="98"/>
    <tableColumn id="2" xr3:uid="{9DA7CA41-046C-0A41-B74C-408607FA2E9F}" name="Coluna2" headerRowDxfId="97" dataDxfId="96"/>
    <tableColumn id="3" xr3:uid="{EBADB628-FE36-714C-90D4-CF08F2CDE150}" name="Coluna3" headerRowDxfId="95" dataDxfId="94"/>
    <tableColumn id="4" xr3:uid="{1065EE6D-3821-5941-B05A-577821F9C7F0}" name="Coluna4" headerRowDxfId="93" dataDxfId="92"/>
  </tableColumns>
  <tableStyleInfo name="TableStyleDark10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231D4E08-96E8-0643-82B1-2A93746CD88A}" name="SetDF" displayName="SetDF" ref="F6:I103" headerRowCount="0" totalsRowShown="0" headerRowDxfId="90" dataDxfId="89">
  <tableColumns count="4">
    <tableColumn id="1" xr3:uid="{A2439FF2-4C05-AD45-A713-F6C23D033F34}" name="Coluna1" dataDxfId="88"/>
    <tableColumn id="2" xr3:uid="{5444E350-49E8-5E4F-BFBE-743799490A54}" name="Coluna2" headerRowDxfId="87" dataDxfId="86"/>
    <tableColumn id="3" xr3:uid="{13EFC8E3-9CA7-4346-A468-C3C3B982106C}" name="Coluna3" headerRowDxfId="85" dataDxfId="84"/>
    <tableColumn id="4" xr3:uid="{FD771D67-786D-7042-B091-B0E88A4DE733}" name="Coluna4" headerRowDxfId="83" dataDxfId="82"/>
  </tableColumns>
  <tableStyleInfo name="TableStyleLight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57AA15E-5B3A-2745-AB09-72C4C9A56ED8}" name="SetDV" displayName="SetDV" ref="K6:N500" headerRowCount="0" totalsRowShown="0" headerRowDxfId="81" dataDxfId="80">
  <tableColumns count="4">
    <tableColumn id="1" xr3:uid="{69402C63-154F-944D-81C7-F9EF15002DC7}" name="Coluna1" headerRowDxfId="79" dataDxfId="78"/>
    <tableColumn id="2" xr3:uid="{4E50FD3A-EAF0-564A-8CE0-E765CCDCFA5E}" name="Coluna2" headerRowDxfId="77" dataDxfId="76"/>
    <tableColumn id="3" xr3:uid="{5C106AFE-8F99-AC4E-909D-7229F2C07A17}" name="Coluna3" headerRowDxfId="75" dataDxfId="74"/>
    <tableColumn id="4" xr3:uid="{9C4CF6B3-2C15-964B-AAAB-3B069B7124C7}" name="Coluna4" headerRowDxfId="73" dataDxfId="72"/>
  </tableColumns>
  <tableStyleInfo name="TableStyleDark10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E1D2CF2C-EAC5-E84D-BA25-E93FA3A4F34C}" name="OutDF" displayName="OutDF" ref="F6:I103" headerRowCount="0" totalsRowShown="0" headerRowDxfId="70" dataDxfId="69">
  <tableColumns count="4">
    <tableColumn id="1" xr3:uid="{190217FD-D3C4-0C43-AD72-DFBD22E47F73}" name="Coluna1" dataDxfId="68"/>
    <tableColumn id="2" xr3:uid="{C7E0C178-EC8E-6947-B382-3C89549E3887}" name="Coluna2" headerRowDxfId="67" dataDxfId="66"/>
    <tableColumn id="3" xr3:uid="{44CCD492-16A2-6C47-97E5-983F026559E2}" name="Coluna3" headerRowDxfId="65" dataDxfId="64"/>
    <tableColumn id="4" xr3:uid="{A0761877-63FB-D445-A3B6-53BDCD937412}" name="Coluna4" headerRowDxfId="63" dataDxfId="62"/>
  </tableColumns>
  <tableStyleInfo name="TableStyleLight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8C88FFB6-7EF7-4C44-925E-44ED37AAD468}" name="OutDV" displayName="OutDV" ref="K6:N500" headerRowCount="0" totalsRowShown="0" headerRowDxfId="61" dataDxfId="60">
  <tableColumns count="4">
    <tableColumn id="1" xr3:uid="{76D2D295-135A-B844-B171-3B08606FDB97}" name="Coluna1" headerRowDxfId="59" dataDxfId="58"/>
    <tableColumn id="2" xr3:uid="{432A34B1-E038-B044-9BA1-AC0B75B663C7}" name="Coluna2" headerRowDxfId="57" dataDxfId="56"/>
    <tableColumn id="3" xr3:uid="{BA0E7853-F533-EB45-87A0-9E462D5CA2AA}" name="Coluna3" headerRowDxfId="55" dataDxfId="54"/>
    <tableColumn id="4" xr3:uid="{1B9F6068-3707-FE4E-8AFE-1E0B3F9B3587}" name="Coluna4" headerRowDxfId="53" dataDxfId="52"/>
  </tableColumns>
  <tableStyleInfo name="TableStyleDark10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EDECCC44-3D94-1848-BBEC-70C061456EB8}" name="NovDF" displayName="NovDF" ref="F6:I103" headerRowCount="0" totalsRowShown="0" headerRowDxfId="50" dataDxfId="49">
  <tableColumns count="4">
    <tableColumn id="1" xr3:uid="{100C2185-FFAA-0544-A3D7-D3D714DE1C8C}" name="Coluna1" dataDxfId="48"/>
    <tableColumn id="2" xr3:uid="{3D01EEA0-0ADA-2A46-BBA5-92576EC6B22D}" name="Coluna2" headerRowDxfId="47" dataDxfId="46"/>
    <tableColumn id="3" xr3:uid="{F5DFA248-E750-7447-A1E1-49082BC33DE8}" name="Coluna3" headerRowDxfId="45" dataDxfId="44"/>
    <tableColumn id="4" xr3:uid="{40CEA765-61FA-7D4A-98E7-512A81DBEC74}" name="Coluna4" headerRowDxfId="43" dataDxfId="42"/>
  </tableColumns>
  <tableStyleInfo name="TableStyleLight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560CEA22-269D-8044-8E12-41378E31E4C1}" name="NovDV" displayName="NovDV" ref="K6:N500" headerRowCount="0" totalsRowShown="0" headerRowDxfId="41" dataDxfId="40">
  <tableColumns count="4">
    <tableColumn id="1" xr3:uid="{327D2692-921C-B44C-8469-625E5414CAF5}" name="Coluna1" headerRowDxfId="39" dataDxfId="38"/>
    <tableColumn id="2" xr3:uid="{9AE693EE-0089-624B-8650-6829E29E8350}" name="Coluna2" headerRowDxfId="37" dataDxfId="36"/>
    <tableColumn id="3" xr3:uid="{52EB3363-0BD5-9542-B73C-A89CF7423B9E}" name="Coluna3" headerRowDxfId="35" dataDxfId="34"/>
    <tableColumn id="4" xr3:uid="{D5BFEA3F-6997-014B-8E79-7D0DC1022DB4}" name="Coluna4" headerRowDxfId="33" dataDxfId="32"/>
  </tableColumns>
  <tableStyleInfo name="TableStyleDark10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CEF96DFC-1A8C-E042-8287-33C3C95DDA9F}" name="DezReceita" displayName="DezReceita" ref="B6:C19" headerRowCount="0" totalsRowShown="0" headerRowDxfId="30" dataDxfId="29">
  <tableColumns count="2">
    <tableColumn id="1" xr3:uid="{4A3FC29F-2AD2-5A4E-80A4-97B3FB1D839B}" name="Salário" headerRowDxfId="28" dataDxfId="27"/>
    <tableColumn id="2" xr3:uid="{B3C3F4BB-C285-1F42-AFF1-0611CDD621EE}" name="R$ 8.200,00" headerRowDxfId="26" dataDxfId="25"/>
  </tableColumns>
  <tableStyleInfo name="TableStyleLight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46BBA4AD-249C-874C-B6D2-BA3EBD7A7AF7}" name="DezOutros" displayName="DezOutros" ref="B33:C42" headerRowCount="0" totalsRowShown="0" headerRowDxfId="24" dataDxfId="23">
  <tableColumns count="2">
    <tableColumn id="1" xr3:uid="{8362BDC9-2517-3F48-A4F3-D56D6AC13983}" name="Coluna1" headerRowDxfId="22" dataDxfId="21"/>
    <tableColumn id="2" xr3:uid="{ADC1BB65-5850-9845-9AF1-AB534A307787}" name="Coluna2" headerRowDxfId="20" dataDxfId="19"/>
  </tableColumns>
  <tableStyleInfo name="TableStyleLight1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8CF5C2E2-341D-5B4C-858E-74A3D27BD5EF}" name="DezDF" displayName="DezDF" ref="F6:I103" headerRowCount="0" totalsRowShown="0" headerRowDxfId="18" dataDxfId="17">
  <tableColumns count="4">
    <tableColumn id="1" xr3:uid="{E1D65139-D573-8045-BDC7-C54C30EF8151}" name="Coluna1" dataDxfId="16"/>
    <tableColumn id="2" xr3:uid="{DD1C4465-98E0-8944-8D10-9B884117F93D}" name="Coluna2" headerRowDxfId="15" dataDxfId="14"/>
    <tableColumn id="3" xr3:uid="{015E35A9-0BF0-ED44-8B0B-95445CC90DB7}" name="Coluna3" headerRowDxfId="13" dataDxfId="12"/>
    <tableColumn id="4" xr3:uid="{5010A6ED-395C-4041-8568-1D479F2F0B65}" name="Coluna4" headerRowDxfId="11" dataDxfId="10"/>
  </tableColumns>
  <tableStyleInfo name="TableStyleLight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FA355F57-D910-7946-A8D7-02A76E2CEAD1}" name="DezDV" displayName="DezDV" ref="K6:N500" headerRowCount="0" totalsRowShown="0" headerRowDxfId="9" dataDxfId="8">
  <tableColumns count="4">
    <tableColumn id="1" xr3:uid="{ADBC2F0D-5D75-2A47-971E-379192D85121}" name="Coluna1" headerRowDxfId="7" dataDxfId="6"/>
    <tableColumn id="2" xr3:uid="{399D7D0F-DAEF-964E-9CDF-E76E644D8E3A}" name="Coluna2" headerRowDxfId="5" dataDxfId="4"/>
    <tableColumn id="3" xr3:uid="{719586B3-62B2-464B-8282-CC3E4EFA4AFB}" name="Coluna3" headerRowDxfId="3" dataDxfId="2"/>
    <tableColumn id="4" xr3:uid="{11A058C9-850B-0748-A1FC-6B103DB1F3DA}" name="Coluna4" headerRowDxfId="1" dataDxfId="0"/>
  </tableColumns>
  <tableStyleInfo name="TableStyleDark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table" Target="../tables/table8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table" Target="../tables/table16.x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table" Target="../tables/table20.xml"/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table" Target="../tables/table22.xml"/><Relationship Id="rId1" Type="http://schemas.openxmlformats.org/officeDocument/2006/relationships/drawing" Target="../drawings/drawing16.xml"/><Relationship Id="rId5" Type="http://schemas.openxmlformats.org/officeDocument/2006/relationships/table" Target="../tables/table25.xml"/><Relationship Id="rId4" Type="http://schemas.openxmlformats.org/officeDocument/2006/relationships/table" Target="../tables/table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0060BE-EFE7-4EA1-8825-DBFCA2A4657C}">
  <sheetPr codeName="Planilha1">
    <tabColor theme="1"/>
  </sheetPr>
  <dimension ref="A6:Z500"/>
  <sheetViews>
    <sheetView showGridLines="0" showRowColHeaders="0" tabSelected="1" zoomScale="120" zoomScaleNormal="120" workbookViewId="0">
      <selection activeCell="K5" sqref="K5"/>
    </sheetView>
  </sheetViews>
  <sheetFormatPr baseColWidth="10" defaultColWidth="0" defaultRowHeight="15" x14ac:dyDescent="0.2"/>
  <cols>
    <col min="1" max="26" width="11.83203125" style="2" customWidth="1"/>
    <col min="27" max="16384" width="11.83203125" style="2" hidden="1"/>
  </cols>
  <sheetData>
    <row r="6" spans="2:18" x14ac:dyDescent="0.2">
      <c r="B6" s="1"/>
      <c r="C6" s="1"/>
      <c r="G6" s="1"/>
      <c r="H6" s="1"/>
      <c r="I6" s="1"/>
      <c r="K6" s="1"/>
      <c r="L6" s="1"/>
      <c r="M6" s="1"/>
      <c r="N6" s="1"/>
      <c r="P6" s="1"/>
      <c r="Q6" s="1"/>
      <c r="R6" s="1"/>
    </row>
    <row r="7" spans="2:18" x14ac:dyDescent="0.2">
      <c r="B7" s="1"/>
      <c r="C7" s="1"/>
      <c r="G7" s="1"/>
      <c r="H7" s="1"/>
      <c r="I7" s="1"/>
      <c r="K7" s="1"/>
      <c r="L7" s="1"/>
      <c r="M7" s="1"/>
      <c r="N7" s="1"/>
    </row>
    <row r="8" spans="2:18" x14ac:dyDescent="0.2">
      <c r="B8" s="1"/>
      <c r="C8" s="1"/>
      <c r="G8" s="1"/>
      <c r="H8" s="1"/>
      <c r="I8" s="1"/>
      <c r="K8" s="1"/>
      <c r="L8" s="1"/>
      <c r="M8" s="1"/>
      <c r="N8" s="1"/>
    </row>
    <row r="9" spans="2:18" x14ac:dyDescent="0.2">
      <c r="B9" s="1"/>
      <c r="C9" s="1"/>
      <c r="G9" s="1"/>
      <c r="H9" s="1"/>
      <c r="I9" s="1"/>
      <c r="K9" s="1"/>
      <c r="L9" s="1"/>
      <c r="M9" s="1"/>
      <c r="N9" s="1"/>
    </row>
    <row r="10" spans="2:18" x14ac:dyDescent="0.2">
      <c r="B10" s="1"/>
      <c r="C10" s="1"/>
      <c r="G10" s="1"/>
      <c r="H10" s="1"/>
      <c r="I10" s="1"/>
      <c r="K10" s="1"/>
      <c r="L10" s="1"/>
      <c r="M10" s="1"/>
      <c r="N10" s="1"/>
    </row>
    <row r="11" spans="2:18" x14ac:dyDescent="0.2">
      <c r="B11" s="1"/>
      <c r="C11" s="1"/>
      <c r="G11" s="1"/>
      <c r="H11" s="1"/>
      <c r="I11" s="1"/>
      <c r="K11" s="1"/>
      <c r="L11" s="1"/>
      <c r="M11" s="1"/>
      <c r="N11" s="1"/>
    </row>
    <row r="12" spans="2:18" x14ac:dyDescent="0.2">
      <c r="B12" s="1"/>
      <c r="C12" s="1"/>
      <c r="G12" s="1"/>
      <c r="H12" s="1"/>
      <c r="I12" s="1"/>
      <c r="K12" s="1"/>
      <c r="L12" s="1"/>
      <c r="M12" s="1"/>
      <c r="N12" s="1"/>
    </row>
    <row r="13" spans="2:18" x14ac:dyDescent="0.2">
      <c r="B13" s="1"/>
      <c r="C13" s="1"/>
      <c r="G13" s="1"/>
      <c r="H13" s="1"/>
      <c r="I13" s="1"/>
      <c r="K13" s="1"/>
      <c r="L13" s="1"/>
      <c r="M13" s="1"/>
      <c r="N13" s="1"/>
    </row>
    <row r="14" spans="2:18" x14ac:dyDescent="0.2">
      <c r="B14" s="1"/>
      <c r="C14" s="1"/>
      <c r="G14" s="1"/>
      <c r="H14" s="1"/>
      <c r="I14" s="1"/>
      <c r="K14" s="1"/>
      <c r="L14" s="1"/>
      <c r="M14" s="1"/>
      <c r="N14" s="1"/>
    </row>
    <row r="15" spans="2:18" x14ac:dyDescent="0.2">
      <c r="B15" s="1"/>
      <c r="C15" s="1"/>
      <c r="G15" s="1"/>
      <c r="H15" s="1"/>
      <c r="I15" s="1"/>
      <c r="K15" s="1"/>
      <c r="L15" s="1"/>
      <c r="M15" s="1"/>
      <c r="N15" s="1"/>
    </row>
    <row r="16" spans="2:18" x14ac:dyDescent="0.2">
      <c r="B16" s="1"/>
      <c r="C16" s="1"/>
      <c r="G16" s="1"/>
      <c r="H16" s="1"/>
      <c r="I16" s="1"/>
      <c r="K16" s="1"/>
      <c r="L16" s="1"/>
      <c r="M16" s="1"/>
      <c r="N16" s="1"/>
    </row>
    <row r="17" spans="2:17" x14ac:dyDescent="0.2">
      <c r="B17" s="1"/>
      <c r="C17" s="1"/>
      <c r="G17" s="1"/>
      <c r="H17" s="1"/>
      <c r="I17" s="1"/>
      <c r="K17" s="1"/>
      <c r="L17" s="1"/>
      <c r="M17" s="1"/>
      <c r="N17" s="1"/>
    </row>
    <row r="18" spans="2:17" x14ac:dyDescent="0.2">
      <c r="B18" s="1"/>
      <c r="C18" s="1"/>
      <c r="G18" s="1"/>
      <c r="H18" s="1"/>
      <c r="I18" s="1"/>
      <c r="K18" s="1"/>
      <c r="L18" s="1"/>
      <c r="M18" s="1"/>
      <c r="N18" s="1"/>
    </row>
    <row r="19" spans="2:17" x14ac:dyDescent="0.2">
      <c r="B19" s="1"/>
      <c r="C19" s="1"/>
      <c r="G19" s="1"/>
      <c r="H19" s="1"/>
      <c r="I19" s="1"/>
      <c r="K19" s="1"/>
      <c r="L19" s="1"/>
      <c r="M19" s="1"/>
      <c r="N19" s="1"/>
    </row>
    <row r="20" spans="2:17" x14ac:dyDescent="0.2">
      <c r="G20" s="1"/>
      <c r="H20" s="1"/>
      <c r="I20" s="1"/>
      <c r="K20" s="1"/>
      <c r="L20" s="1"/>
      <c r="M20" s="1"/>
      <c r="N20" s="1"/>
    </row>
    <row r="21" spans="2:17" x14ac:dyDescent="0.2">
      <c r="G21" s="1"/>
      <c r="H21" s="1"/>
      <c r="I21" s="1"/>
      <c r="K21" s="1"/>
      <c r="L21" s="1"/>
      <c r="M21" s="1"/>
      <c r="N21" s="1"/>
    </row>
    <row r="22" spans="2:17" x14ac:dyDescent="0.2">
      <c r="G22" s="1"/>
      <c r="H22" s="1"/>
      <c r="I22" s="1"/>
      <c r="K22" s="1"/>
      <c r="L22" s="1"/>
      <c r="M22" s="1"/>
      <c r="N22" s="1"/>
    </row>
    <row r="23" spans="2:17" x14ac:dyDescent="0.2">
      <c r="G23" s="1"/>
      <c r="H23" s="1"/>
      <c r="I23" s="1"/>
      <c r="K23" s="1"/>
      <c r="L23" s="1"/>
      <c r="M23" s="1"/>
      <c r="N23" s="1"/>
    </row>
    <row r="24" spans="2:17" x14ac:dyDescent="0.2">
      <c r="B24" s="1"/>
      <c r="C24" s="1"/>
      <c r="G24" s="1"/>
      <c r="H24" s="1"/>
      <c r="I24" s="1"/>
      <c r="K24" s="1"/>
      <c r="L24" s="1"/>
      <c r="M24" s="1"/>
      <c r="N24" s="1"/>
    </row>
    <row r="25" spans="2:17" x14ac:dyDescent="0.2">
      <c r="B25" s="1"/>
      <c r="C25" s="1"/>
      <c r="G25" s="1"/>
      <c r="H25" s="1"/>
      <c r="I25" s="1"/>
      <c r="K25" s="1"/>
      <c r="L25" s="1"/>
      <c r="M25" s="1"/>
      <c r="N25" s="1"/>
    </row>
    <row r="26" spans="2:17" x14ac:dyDescent="0.2">
      <c r="B26" s="1"/>
      <c r="C26" s="1"/>
      <c r="G26" s="1"/>
      <c r="H26" s="1"/>
      <c r="I26" s="1"/>
      <c r="K26" s="1"/>
      <c r="L26" s="1"/>
      <c r="M26" s="1"/>
      <c r="N26" s="1"/>
    </row>
    <row r="27" spans="2:17" x14ac:dyDescent="0.2">
      <c r="B27" s="1"/>
      <c r="C27" s="1"/>
      <c r="G27" s="1"/>
      <c r="H27" s="1"/>
      <c r="I27" s="1"/>
      <c r="K27" s="1"/>
      <c r="L27" s="1"/>
      <c r="M27" s="1"/>
      <c r="N27" s="1"/>
    </row>
    <row r="28" spans="2:17" x14ac:dyDescent="0.2">
      <c r="B28" s="1"/>
      <c r="C28" s="1"/>
      <c r="G28" s="1"/>
      <c r="H28" s="1"/>
      <c r="I28" s="1"/>
      <c r="K28" s="1"/>
      <c r="L28" s="1"/>
      <c r="M28" s="1"/>
      <c r="N28" s="1"/>
    </row>
    <row r="29" spans="2:17" x14ac:dyDescent="0.2">
      <c r="G29" s="1"/>
      <c r="H29" s="1"/>
      <c r="I29" s="1"/>
      <c r="K29" s="1"/>
      <c r="L29" s="1"/>
      <c r="M29" s="1"/>
      <c r="N29" s="1"/>
    </row>
    <row r="30" spans="2:17" x14ac:dyDescent="0.2">
      <c r="G30" s="1"/>
      <c r="H30" s="1"/>
      <c r="I30" s="1"/>
      <c r="K30" s="1"/>
      <c r="L30" s="1"/>
      <c r="M30" s="1"/>
      <c r="N30" s="1"/>
    </row>
    <row r="31" spans="2:17" x14ac:dyDescent="0.2">
      <c r="G31" s="1"/>
      <c r="H31" s="1"/>
      <c r="I31" s="1"/>
      <c r="K31" s="1"/>
      <c r="L31" s="1"/>
      <c r="M31" s="1"/>
      <c r="N31" s="1"/>
      <c r="P31" s="1"/>
      <c r="Q31" s="1"/>
    </row>
    <row r="32" spans="2:17" x14ac:dyDescent="0.2">
      <c r="G32" s="1"/>
      <c r="H32" s="1"/>
      <c r="I32" s="1"/>
      <c r="K32" s="1"/>
      <c r="L32" s="1"/>
      <c r="M32" s="1"/>
      <c r="N32" s="1"/>
      <c r="P32" s="1"/>
      <c r="Q32" s="1"/>
    </row>
    <row r="33" spans="2:17" x14ac:dyDescent="0.2">
      <c r="B33" s="1"/>
      <c r="C33" s="1"/>
      <c r="D33" s="2">
        <f>Tabelas!Y21</f>
        <v>0</v>
      </c>
      <c r="G33" s="1"/>
      <c r="H33" s="1"/>
      <c r="I33" s="1"/>
      <c r="K33" s="1"/>
      <c r="L33" s="1"/>
      <c r="M33" s="1"/>
      <c r="N33" s="1"/>
      <c r="P33" s="1"/>
      <c r="Q33" s="1"/>
    </row>
    <row r="34" spans="2:17" ht="10" customHeight="1" x14ac:dyDescent="0.2">
      <c r="B34" s="1"/>
      <c r="C34" s="1"/>
      <c r="G34" s="1"/>
      <c r="H34" s="1"/>
      <c r="I34" s="1"/>
      <c r="K34" s="1"/>
      <c r="L34" s="1"/>
      <c r="M34" s="1"/>
      <c r="N34" s="1"/>
      <c r="P34" s="1"/>
      <c r="Q34" s="1"/>
    </row>
    <row r="35" spans="2:17" x14ac:dyDescent="0.2">
      <c r="B35" s="1"/>
      <c r="C35" s="1"/>
      <c r="D35" s="2">
        <f>Tabelas!Z21</f>
        <v>0</v>
      </c>
      <c r="G35" s="1"/>
      <c r="H35" s="1"/>
      <c r="I35" s="1"/>
      <c r="K35" s="1"/>
      <c r="L35" s="1"/>
      <c r="M35" s="1"/>
      <c r="N35" s="1"/>
      <c r="P35" s="1"/>
      <c r="Q35" s="1"/>
    </row>
    <row r="36" spans="2:17" ht="10" customHeight="1" x14ac:dyDescent="0.2">
      <c r="B36" s="1"/>
      <c r="C36" s="1"/>
      <c r="G36" s="1"/>
      <c r="H36" s="1"/>
      <c r="I36" s="1"/>
      <c r="K36" s="1"/>
      <c r="L36" s="1"/>
      <c r="M36" s="1"/>
      <c r="N36" s="1"/>
      <c r="P36" s="1"/>
      <c r="Q36" s="1"/>
    </row>
    <row r="37" spans="2:17" x14ac:dyDescent="0.2">
      <c r="B37" s="1"/>
      <c r="C37" s="1"/>
      <c r="D37" s="2">
        <f>Tabelas!AA21</f>
        <v>0</v>
      </c>
      <c r="G37" s="1"/>
      <c r="H37" s="1"/>
      <c r="I37" s="1"/>
      <c r="K37" s="1"/>
      <c r="L37" s="1"/>
      <c r="M37" s="1"/>
      <c r="N37" s="1"/>
      <c r="P37" s="1"/>
      <c r="Q37" s="1"/>
    </row>
    <row r="38" spans="2:17" ht="10" customHeight="1" x14ac:dyDescent="0.2">
      <c r="B38" s="1"/>
      <c r="C38" s="1"/>
      <c r="G38" s="1"/>
      <c r="H38" s="1"/>
      <c r="I38" s="1"/>
      <c r="K38" s="1"/>
      <c r="L38" s="1"/>
      <c r="M38" s="1"/>
      <c r="N38" s="1"/>
      <c r="P38" s="1"/>
      <c r="Q38" s="1"/>
    </row>
    <row r="39" spans="2:17" x14ac:dyDescent="0.2">
      <c r="B39" s="1"/>
      <c r="C39" s="1"/>
      <c r="D39" s="2">
        <f>Tabelas!AB21</f>
        <v>0</v>
      </c>
      <c r="G39" s="1"/>
      <c r="H39" s="1"/>
      <c r="I39" s="1"/>
      <c r="K39" s="1"/>
      <c r="L39" s="1"/>
      <c r="M39" s="1"/>
      <c r="N39" s="1"/>
      <c r="P39" s="1"/>
      <c r="Q39" s="1"/>
    </row>
    <row r="40" spans="2:17" ht="10" customHeight="1" x14ac:dyDescent="0.2">
      <c r="B40" s="1"/>
      <c r="C40" s="1"/>
      <c r="G40" s="1"/>
      <c r="H40" s="1"/>
      <c r="I40" s="1"/>
      <c r="K40" s="1"/>
      <c r="L40" s="1"/>
      <c r="M40" s="1"/>
      <c r="N40" s="1"/>
      <c r="P40" s="1"/>
      <c r="Q40" s="1"/>
    </row>
    <row r="41" spans="2:17" x14ac:dyDescent="0.2">
      <c r="B41" s="1"/>
      <c r="C41" s="1"/>
      <c r="D41" s="2">
        <f>Tabelas!AC21</f>
        <v>0</v>
      </c>
      <c r="G41" s="1"/>
      <c r="H41" s="1"/>
      <c r="I41" s="1"/>
      <c r="K41" s="1"/>
      <c r="L41" s="1"/>
      <c r="M41" s="1"/>
      <c r="N41" s="1"/>
      <c r="P41" s="1"/>
      <c r="Q41" s="1"/>
    </row>
    <row r="42" spans="2:17" ht="10" customHeight="1" x14ac:dyDescent="0.2">
      <c r="B42" s="1"/>
      <c r="C42" s="1"/>
      <c r="G42" s="1"/>
      <c r="H42" s="1"/>
      <c r="I42" s="1"/>
      <c r="K42" s="1"/>
      <c r="L42" s="1"/>
      <c r="M42" s="1"/>
      <c r="N42" s="1"/>
      <c r="P42" s="1"/>
      <c r="Q42" s="1"/>
    </row>
    <row r="43" spans="2:17" x14ac:dyDescent="0.2">
      <c r="D43" s="2">
        <f>Tabelas!AD21</f>
        <v>0</v>
      </c>
      <c r="G43" s="1"/>
      <c r="H43" s="1"/>
      <c r="I43" s="1"/>
      <c r="K43" s="1"/>
      <c r="L43" s="1"/>
      <c r="M43" s="1"/>
      <c r="N43" s="1"/>
    </row>
    <row r="44" spans="2:17" ht="10" customHeight="1" x14ac:dyDescent="0.2">
      <c r="G44" s="1"/>
      <c r="H44" s="1"/>
      <c r="I44" s="1"/>
      <c r="K44" s="1"/>
      <c r="L44" s="1"/>
      <c r="M44" s="1"/>
      <c r="N44" s="1"/>
    </row>
    <row r="45" spans="2:17" x14ac:dyDescent="0.2">
      <c r="D45" s="2">
        <f>Tabelas!AE21</f>
        <v>0</v>
      </c>
      <c r="G45" s="1"/>
      <c r="H45" s="1"/>
      <c r="I45" s="1"/>
      <c r="K45" s="1"/>
      <c r="L45" s="1"/>
      <c r="M45" s="1"/>
      <c r="N45" s="1"/>
    </row>
    <row r="46" spans="2:17" ht="10" customHeight="1" x14ac:dyDescent="0.2">
      <c r="G46" s="1"/>
      <c r="H46" s="1"/>
      <c r="I46" s="1"/>
      <c r="K46" s="1"/>
      <c r="L46" s="1"/>
      <c r="M46" s="1"/>
      <c r="N46" s="1"/>
    </row>
    <row r="47" spans="2:17" ht="16" x14ac:dyDescent="0.2">
      <c r="D47" s="2">
        <f>Tabelas!AF21</f>
        <v>0</v>
      </c>
      <c r="G47" s="1"/>
      <c r="H47" s="1"/>
      <c r="I47" s="1"/>
      <c r="K47" s="1"/>
      <c r="L47" s="1"/>
      <c r="M47" s="127"/>
      <c r="N47" s="1"/>
      <c r="P47" s="3"/>
    </row>
    <row r="48" spans="2:17" ht="10" customHeight="1" x14ac:dyDescent="0.2">
      <c r="G48" s="1"/>
      <c r="H48" s="1"/>
      <c r="I48" s="1"/>
      <c r="K48" s="1"/>
      <c r="L48" s="1"/>
      <c r="M48" s="1"/>
      <c r="N48" s="1"/>
    </row>
    <row r="49" spans="4:14" x14ac:dyDescent="0.2">
      <c r="D49" s="2">
        <f>Tabelas!AG21</f>
        <v>0</v>
      </c>
      <c r="G49" s="1"/>
      <c r="H49" s="1"/>
      <c r="I49" s="1"/>
      <c r="K49" s="1"/>
      <c r="L49" s="1"/>
      <c r="M49" s="1"/>
      <c r="N49" s="1"/>
    </row>
    <row r="50" spans="4:14" ht="10" customHeight="1" x14ac:dyDescent="0.2">
      <c r="G50" s="1"/>
      <c r="H50" s="1"/>
      <c r="I50" s="1"/>
      <c r="K50" s="1"/>
      <c r="L50" s="1"/>
      <c r="M50" s="1"/>
      <c r="N50" s="1"/>
    </row>
    <row r="51" spans="4:14" x14ac:dyDescent="0.2">
      <c r="D51" s="2">
        <f>Tabelas!AH21</f>
        <v>0</v>
      </c>
      <c r="G51" s="1"/>
      <c r="H51" s="1"/>
      <c r="I51" s="1"/>
      <c r="K51" s="1"/>
      <c r="L51" s="1"/>
      <c r="M51" s="1"/>
      <c r="N51" s="1"/>
    </row>
    <row r="52" spans="4:14" x14ac:dyDescent="0.2">
      <c r="G52" s="1"/>
      <c r="H52" s="1"/>
      <c r="I52" s="1"/>
      <c r="K52" s="1"/>
      <c r="L52" s="1"/>
      <c r="M52" s="1"/>
      <c r="N52" s="1"/>
    </row>
    <row r="53" spans="4:14" x14ac:dyDescent="0.2">
      <c r="G53" s="1"/>
      <c r="H53" s="1"/>
      <c r="I53" s="1"/>
      <c r="K53" s="1"/>
      <c r="L53" s="1"/>
      <c r="M53" s="1"/>
      <c r="N53" s="1"/>
    </row>
    <row r="54" spans="4:14" x14ac:dyDescent="0.2">
      <c r="G54" s="1"/>
      <c r="H54" s="1"/>
      <c r="I54" s="1"/>
      <c r="K54" s="1"/>
      <c r="L54" s="1"/>
      <c r="M54" s="1"/>
      <c r="N54" s="1"/>
    </row>
    <row r="55" spans="4:14" x14ac:dyDescent="0.2">
      <c r="G55" s="1"/>
      <c r="H55" s="1"/>
      <c r="I55" s="1"/>
      <c r="K55" s="1"/>
      <c r="L55" s="1"/>
      <c r="M55" s="1"/>
      <c r="N55" s="1"/>
    </row>
    <row r="56" spans="4:14" x14ac:dyDescent="0.2">
      <c r="G56" s="1"/>
      <c r="H56" s="1"/>
      <c r="I56" s="1"/>
      <c r="K56" s="1"/>
      <c r="L56" s="1"/>
      <c r="M56" s="1"/>
      <c r="N56" s="1"/>
    </row>
    <row r="57" spans="4:14" x14ac:dyDescent="0.2">
      <c r="G57" s="1"/>
      <c r="H57" s="1"/>
      <c r="I57" s="1"/>
      <c r="K57" s="1"/>
      <c r="L57" s="1"/>
      <c r="M57" s="1"/>
      <c r="N57" s="1"/>
    </row>
    <row r="58" spans="4:14" x14ac:dyDescent="0.2">
      <c r="G58" s="1"/>
      <c r="H58" s="1"/>
      <c r="I58" s="1"/>
      <c r="K58" s="1"/>
      <c r="L58" s="1"/>
      <c r="M58" s="1"/>
      <c r="N58" s="1"/>
    </row>
    <row r="59" spans="4:14" x14ac:dyDescent="0.2">
      <c r="G59" s="1"/>
      <c r="H59" s="1"/>
      <c r="I59" s="1"/>
      <c r="K59" s="1"/>
      <c r="L59" s="1"/>
      <c r="M59" s="1"/>
      <c r="N59" s="1"/>
    </row>
    <row r="60" spans="4:14" x14ac:dyDescent="0.2">
      <c r="G60" s="1"/>
      <c r="H60" s="1"/>
      <c r="I60" s="1"/>
      <c r="K60" s="1"/>
      <c r="L60" s="1"/>
      <c r="M60" s="1"/>
      <c r="N60" s="1"/>
    </row>
    <row r="61" spans="4:14" x14ac:dyDescent="0.2">
      <c r="G61" s="1"/>
      <c r="H61" s="1"/>
      <c r="I61" s="1"/>
      <c r="K61" s="1"/>
      <c r="L61" s="1"/>
      <c r="M61" s="1"/>
      <c r="N61" s="1"/>
    </row>
    <row r="62" spans="4:14" x14ac:dyDescent="0.2">
      <c r="G62" s="1"/>
      <c r="H62" s="1"/>
      <c r="I62" s="1"/>
      <c r="K62" s="1"/>
      <c r="L62" s="1"/>
      <c r="M62" s="1"/>
      <c r="N62" s="1"/>
    </row>
    <row r="63" spans="4:14" x14ac:dyDescent="0.2">
      <c r="G63" s="1"/>
      <c r="H63" s="1"/>
      <c r="I63" s="1"/>
      <c r="K63" s="1"/>
      <c r="L63" s="1"/>
      <c r="M63" s="1"/>
      <c r="N63" s="1"/>
    </row>
    <row r="64" spans="4:14" ht="16" x14ac:dyDescent="0.2">
      <c r="G64" s="1"/>
      <c r="H64" s="1"/>
      <c r="I64" s="1"/>
      <c r="J64" s="4"/>
      <c r="K64" s="1"/>
      <c r="L64" s="1"/>
      <c r="M64" s="1"/>
      <c r="N64" s="1"/>
    </row>
    <row r="65" spans="7:14" ht="16" x14ac:dyDescent="0.2">
      <c r="G65" s="1"/>
      <c r="H65" s="1"/>
      <c r="I65" s="1"/>
      <c r="J65" s="5"/>
      <c r="K65" s="1"/>
      <c r="L65" s="7"/>
      <c r="M65" s="1"/>
      <c r="N65" s="1"/>
    </row>
    <row r="66" spans="7:14" ht="16" x14ac:dyDescent="0.2">
      <c r="G66" s="1"/>
      <c r="H66" s="1"/>
      <c r="I66" s="1"/>
      <c r="K66" s="1"/>
      <c r="L66" s="7"/>
      <c r="M66" s="1"/>
      <c r="N66" s="1"/>
    </row>
    <row r="67" spans="7:14" ht="16" x14ac:dyDescent="0.2">
      <c r="G67" s="1"/>
      <c r="H67" s="1"/>
      <c r="I67" s="1"/>
      <c r="K67" s="1"/>
      <c r="L67" s="7"/>
      <c r="M67" s="1"/>
      <c r="N67" s="1"/>
    </row>
    <row r="68" spans="7:14" ht="16" x14ac:dyDescent="0.2">
      <c r="G68" s="1"/>
      <c r="H68" s="1"/>
      <c r="I68" s="1"/>
      <c r="K68" s="1"/>
      <c r="L68" s="7"/>
      <c r="M68" s="1"/>
      <c r="N68" s="1"/>
    </row>
    <row r="69" spans="7:14" ht="16" x14ac:dyDescent="0.2">
      <c r="G69" s="1"/>
      <c r="H69" s="1"/>
      <c r="I69" s="1"/>
      <c r="K69" s="1"/>
      <c r="L69" s="7"/>
      <c r="M69" s="1"/>
      <c r="N69" s="1"/>
    </row>
    <row r="70" spans="7:14" ht="16" x14ac:dyDescent="0.2">
      <c r="G70" s="1"/>
      <c r="H70" s="1"/>
      <c r="I70" s="1"/>
      <c r="K70" s="1"/>
      <c r="L70" s="7"/>
      <c r="M70" s="1"/>
      <c r="N70" s="1"/>
    </row>
    <row r="71" spans="7:14" ht="16" x14ac:dyDescent="0.2">
      <c r="G71" s="1"/>
      <c r="H71" s="1"/>
      <c r="I71" s="1"/>
      <c r="K71" s="1"/>
      <c r="L71" s="7"/>
      <c r="M71" s="1"/>
      <c r="N71" s="1"/>
    </row>
    <row r="72" spans="7:14" x14ac:dyDescent="0.2">
      <c r="G72" s="1"/>
      <c r="H72" s="1"/>
      <c r="I72" s="1"/>
      <c r="K72" s="1"/>
      <c r="L72" s="1"/>
      <c r="M72" s="1"/>
      <c r="N72" s="1"/>
    </row>
    <row r="73" spans="7:14" x14ac:dyDescent="0.2">
      <c r="G73" s="1"/>
      <c r="H73" s="1"/>
      <c r="I73" s="1"/>
      <c r="K73" s="1"/>
      <c r="L73" s="1"/>
      <c r="M73" s="1"/>
      <c r="N73" s="1"/>
    </row>
    <row r="74" spans="7:14" x14ac:dyDescent="0.2">
      <c r="G74" s="1"/>
      <c r="H74" s="1"/>
      <c r="I74" s="1"/>
      <c r="K74" s="1"/>
    </row>
    <row r="75" spans="7:14" x14ac:dyDescent="0.2">
      <c r="G75" s="1"/>
      <c r="H75" s="1"/>
      <c r="I75" s="1"/>
      <c r="K75" s="1"/>
    </row>
    <row r="76" spans="7:14" x14ac:dyDescent="0.2">
      <c r="G76" s="1"/>
      <c r="H76" s="1"/>
      <c r="I76" s="1"/>
      <c r="K76" s="1"/>
      <c r="M76" s="176">
        <v>0</v>
      </c>
    </row>
    <row r="77" spans="7:14" x14ac:dyDescent="0.2">
      <c r="G77" s="1"/>
      <c r="H77" s="1"/>
      <c r="I77" s="1"/>
      <c r="K77" s="1"/>
    </row>
    <row r="78" spans="7:14" x14ac:dyDescent="0.2">
      <c r="G78" s="1"/>
      <c r="H78" s="1"/>
      <c r="I78" s="1"/>
      <c r="K78" s="1"/>
    </row>
    <row r="79" spans="7:14" x14ac:dyDescent="0.2">
      <c r="G79" s="1"/>
      <c r="H79" s="1"/>
      <c r="I79" s="1"/>
      <c r="K79" s="1"/>
    </row>
    <row r="80" spans="7:14" x14ac:dyDescent="0.2">
      <c r="G80" s="1"/>
      <c r="H80" s="1"/>
      <c r="I80" s="1"/>
      <c r="K80" s="1"/>
      <c r="L80" s="1"/>
      <c r="M80" s="1"/>
      <c r="N80" s="1"/>
    </row>
    <row r="81" spans="7:14" x14ac:dyDescent="0.2">
      <c r="G81" s="1"/>
      <c r="H81" s="1"/>
      <c r="I81" s="1"/>
      <c r="K81" s="1"/>
      <c r="L81" s="1"/>
      <c r="M81" s="1"/>
      <c r="N81" s="1"/>
    </row>
    <row r="82" spans="7:14" x14ac:dyDescent="0.2">
      <c r="G82" s="1"/>
      <c r="H82" s="1"/>
      <c r="I82" s="1"/>
      <c r="K82" s="1"/>
      <c r="L82" s="1"/>
      <c r="M82" s="1"/>
      <c r="N82" s="1"/>
    </row>
    <row r="83" spans="7:14" x14ac:dyDescent="0.2">
      <c r="G83" s="1"/>
      <c r="H83" s="1"/>
      <c r="I83" s="1"/>
      <c r="K83" s="1"/>
      <c r="L83" s="1"/>
      <c r="M83" s="1"/>
      <c r="N83" s="1"/>
    </row>
    <row r="84" spans="7:14" x14ac:dyDescent="0.2">
      <c r="G84" s="1"/>
      <c r="H84" s="1"/>
      <c r="I84" s="1"/>
      <c r="K84" s="1"/>
      <c r="L84" s="1"/>
      <c r="M84" s="1"/>
      <c r="N84" s="1"/>
    </row>
    <row r="85" spans="7:14" x14ac:dyDescent="0.2">
      <c r="G85" s="1"/>
      <c r="H85" s="1"/>
      <c r="I85" s="1"/>
      <c r="K85" s="1"/>
      <c r="L85" s="1"/>
      <c r="M85" s="1"/>
      <c r="N85" s="1"/>
    </row>
    <row r="86" spans="7:14" x14ac:dyDescent="0.2">
      <c r="G86" s="1"/>
      <c r="H86" s="1"/>
      <c r="I86" s="1"/>
      <c r="K86" s="1"/>
      <c r="L86" s="1"/>
      <c r="M86" s="1"/>
      <c r="N86" s="1"/>
    </row>
    <row r="87" spans="7:14" x14ac:dyDescent="0.2">
      <c r="G87" s="1"/>
      <c r="H87" s="1"/>
      <c r="I87" s="1"/>
      <c r="K87" s="1"/>
      <c r="L87" s="1"/>
      <c r="M87" s="1"/>
      <c r="N87" s="1"/>
    </row>
    <row r="88" spans="7:14" x14ac:dyDescent="0.2">
      <c r="G88" s="1"/>
      <c r="H88" s="1"/>
      <c r="I88" s="1"/>
      <c r="K88" s="1"/>
      <c r="L88" s="1"/>
      <c r="M88" s="1"/>
      <c r="N88" s="1"/>
    </row>
    <row r="89" spans="7:14" x14ac:dyDescent="0.2">
      <c r="G89" s="1"/>
      <c r="H89" s="1"/>
      <c r="I89" s="1"/>
      <c r="K89" s="1"/>
      <c r="L89" s="1"/>
      <c r="M89" s="1"/>
      <c r="N89" s="1"/>
    </row>
    <row r="90" spans="7:14" x14ac:dyDescent="0.2">
      <c r="G90" s="1"/>
      <c r="H90" s="1"/>
      <c r="I90" s="1"/>
      <c r="K90" s="1"/>
      <c r="L90" s="1"/>
      <c r="M90" s="1"/>
      <c r="N90" s="1"/>
    </row>
    <row r="91" spans="7:14" x14ac:dyDescent="0.2">
      <c r="G91" s="1"/>
      <c r="H91" s="1"/>
      <c r="I91" s="1"/>
      <c r="K91" s="1"/>
      <c r="L91" s="1"/>
      <c r="M91" s="1"/>
      <c r="N91" s="1"/>
    </row>
    <row r="92" spans="7:14" x14ac:dyDescent="0.2">
      <c r="G92" s="1"/>
      <c r="H92" s="1"/>
      <c r="I92" s="1"/>
      <c r="K92" s="1"/>
      <c r="L92" s="1"/>
      <c r="M92" s="1"/>
      <c r="N92" s="1"/>
    </row>
    <row r="93" spans="7:14" x14ac:dyDescent="0.2">
      <c r="G93" s="1"/>
      <c r="H93" s="1"/>
      <c r="I93" s="1"/>
      <c r="K93" s="1"/>
      <c r="L93" s="1"/>
      <c r="M93" s="1"/>
      <c r="N93" s="1"/>
    </row>
    <row r="94" spans="7:14" x14ac:dyDescent="0.2">
      <c r="G94" s="1"/>
      <c r="H94" s="1"/>
      <c r="I94" s="1"/>
      <c r="K94" s="1"/>
      <c r="L94" s="1"/>
      <c r="M94" s="1"/>
      <c r="N94" s="1"/>
    </row>
    <row r="95" spans="7:14" x14ac:dyDescent="0.2">
      <c r="G95" s="1"/>
      <c r="H95" s="1"/>
      <c r="I95" s="1"/>
      <c r="K95" s="1"/>
      <c r="L95" s="1"/>
      <c r="M95" s="1"/>
      <c r="N95" s="1"/>
    </row>
    <row r="96" spans="7:14" x14ac:dyDescent="0.2">
      <c r="G96" s="1"/>
      <c r="H96" s="1"/>
      <c r="I96" s="1"/>
      <c r="K96" s="1"/>
      <c r="L96" s="1"/>
      <c r="M96" s="1"/>
      <c r="N96" s="1"/>
    </row>
    <row r="97" spans="7:14" x14ac:dyDescent="0.2">
      <c r="G97" s="1"/>
      <c r="H97" s="1"/>
      <c r="I97" s="1"/>
      <c r="K97" s="1"/>
      <c r="L97" s="1"/>
      <c r="M97" s="1"/>
      <c r="N97" s="1"/>
    </row>
    <row r="98" spans="7:14" x14ac:dyDescent="0.2">
      <c r="G98" s="1"/>
      <c r="H98" s="1"/>
      <c r="I98" s="1"/>
      <c r="K98" s="1"/>
      <c r="L98" s="1"/>
      <c r="M98" s="1"/>
      <c r="N98" s="1"/>
    </row>
    <row r="99" spans="7:14" x14ac:dyDescent="0.2">
      <c r="G99" s="1"/>
      <c r="H99" s="1"/>
      <c r="I99" s="1"/>
      <c r="K99" s="1"/>
      <c r="L99" s="1"/>
      <c r="M99" s="1"/>
      <c r="N99" s="1"/>
    </row>
    <row r="100" spans="7:14" x14ac:dyDescent="0.2">
      <c r="G100" s="1"/>
      <c r="H100" s="1"/>
      <c r="I100" s="1"/>
      <c r="K100" s="1"/>
      <c r="L100" s="1"/>
      <c r="M100" s="1"/>
      <c r="N100" s="1"/>
    </row>
    <row r="101" spans="7:14" x14ac:dyDescent="0.2">
      <c r="G101" s="1"/>
      <c r="H101" s="1"/>
      <c r="I101" s="1"/>
      <c r="K101" s="1"/>
      <c r="L101" s="1"/>
      <c r="M101" s="1"/>
      <c r="N101" s="1"/>
    </row>
    <row r="102" spans="7:14" x14ac:dyDescent="0.2">
      <c r="G102" s="1"/>
      <c r="H102" s="1"/>
      <c r="I102" s="1"/>
      <c r="K102" s="1"/>
      <c r="L102" s="1"/>
      <c r="M102" s="1"/>
      <c r="N102" s="1"/>
    </row>
    <row r="103" spans="7:14" x14ac:dyDescent="0.2">
      <c r="G103" s="1"/>
      <c r="H103" s="1"/>
      <c r="I103" s="1"/>
      <c r="K103" s="1"/>
      <c r="L103" s="1"/>
      <c r="M103" s="1"/>
      <c r="N103" s="1"/>
    </row>
    <row r="104" spans="7:14" x14ac:dyDescent="0.2">
      <c r="K104" s="1"/>
      <c r="L104" s="1"/>
      <c r="M104" s="1"/>
      <c r="N104" s="1"/>
    </row>
    <row r="105" spans="7:14" x14ac:dyDescent="0.2">
      <c r="K105" s="1"/>
      <c r="L105" s="1"/>
      <c r="M105" s="1"/>
      <c r="N105" s="1"/>
    </row>
    <row r="106" spans="7:14" x14ac:dyDescent="0.2">
      <c r="K106" s="1"/>
      <c r="L106" s="1"/>
      <c r="M106" s="1"/>
      <c r="N106" s="1"/>
    </row>
    <row r="107" spans="7:14" x14ac:dyDescent="0.2">
      <c r="K107" s="1"/>
      <c r="L107" s="1"/>
      <c r="M107" s="1"/>
      <c r="N107" s="1"/>
    </row>
    <row r="108" spans="7:14" x14ac:dyDescent="0.2">
      <c r="K108" s="1"/>
      <c r="L108" s="1"/>
      <c r="M108" s="1"/>
      <c r="N108" s="1"/>
    </row>
    <row r="109" spans="7:14" x14ac:dyDescent="0.2">
      <c r="K109" s="1"/>
      <c r="L109" s="1"/>
      <c r="M109" s="1"/>
      <c r="N109" s="1"/>
    </row>
    <row r="110" spans="7:14" x14ac:dyDescent="0.2">
      <c r="K110" s="1"/>
      <c r="L110" s="1"/>
      <c r="M110" s="1"/>
      <c r="N110" s="1"/>
    </row>
    <row r="111" spans="7:14" x14ac:dyDescent="0.2">
      <c r="K111" s="1"/>
      <c r="L111" s="1"/>
      <c r="M111" s="1"/>
      <c r="N111" s="1"/>
    </row>
    <row r="112" spans="7:14" x14ac:dyDescent="0.2">
      <c r="K112" s="1"/>
      <c r="L112" s="1"/>
      <c r="M112" s="1"/>
      <c r="N112" s="1"/>
    </row>
    <row r="113" spans="11:14" x14ac:dyDescent="0.2">
      <c r="K113" s="1"/>
      <c r="L113" s="1"/>
      <c r="M113" s="1"/>
      <c r="N113" s="1"/>
    </row>
    <row r="114" spans="11:14" x14ac:dyDescent="0.2">
      <c r="K114" s="1"/>
      <c r="L114" s="1"/>
      <c r="M114" s="1"/>
      <c r="N114" s="1"/>
    </row>
    <row r="115" spans="11:14" x14ac:dyDescent="0.2">
      <c r="K115" s="1"/>
      <c r="L115" s="1"/>
      <c r="M115" s="1"/>
      <c r="N115" s="1"/>
    </row>
    <row r="116" spans="11:14" x14ac:dyDescent="0.2">
      <c r="K116" s="1"/>
      <c r="L116" s="1"/>
      <c r="M116" s="1"/>
      <c r="N116" s="1"/>
    </row>
    <row r="117" spans="11:14" x14ac:dyDescent="0.2">
      <c r="K117" s="1"/>
      <c r="L117" s="1"/>
      <c r="M117" s="1"/>
      <c r="N117" s="1"/>
    </row>
    <row r="118" spans="11:14" x14ac:dyDescent="0.2">
      <c r="K118" s="1"/>
      <c r="L118" s="1"/>
      <c r="M118" s="1"/>
      <c r="N118" s="1"/>
    </row>
    <row r="119" spans="11:14" x14ac:dyDescent="0.2">
      <c r="K119" s="1"/>
      <c r="L119" s="1"/>
      <c r="M119" s="1"/>
      <c r="N119" s="1"/>
    </row>
    <row r="120" spans="11:14" x14ac:dyDescent="0.2">
      <c r="K120" s="1"/>
      <c r="L120" s="1"/>
      <c r="M120" s="1"/>
      <c r="N120" s="1"/>
    </row>
    <row r="121" spans="11:14" x14ac:dyDescent="0.2">
      <c r="K121" s="1"/>
      <c r="L121" s="1"/>
      <c r="M121" s="1"/>
      <c r="N121" s="1"/>
    </row>
    <row r="122" spans="11:14" x14ac:dyDescent="0.2">
      <c r="K122" s="1"/>
      <c r="L122" s="1"/>
      <c r="M122" s="1"/>
      <c r="N122" s="1"/>
    </row>
    <row r="123" spans="11:14" x14ac:dyDescent="0.2">
      <c r="K123" s="1"/>
      <c r="L123" s="1"/>
      <c r="M123" s="1"/>
      <c r="N123" s="1"/>
    </row>
    <row r="124" spans="11:14" x14ac:dyDescent="0.2">
      <c r="K124" s="1"/>
      <c r="L124" s="1"/>
      <c r="M124" s="1"/>
      <c r="N124" s="1"/>
    </row>
    <row r="125" spans="11:14" x14ac:dyDescent="0.2">
      <c r="K125" s="1"/>
      <c r="L125" s="1"/>
      <c r="M125" s="1"/>
      <c r="N125" s="1"/>
    </row>
    <row r="126" spans="11:14" x14ac:dyDescent="0.2">
      <c r="K126" s="1"/>
      <c r="L126" s="1"/>
      <c r="M126" s="1"/>
      <c r="N126" s="1"/>
    </row>
    <row r="127" spans="11:14" x14ac:dyDescent="0.2">
      <c r="K127" s="1"/>
      <c r="L127" s="1"/>
      <c r="M127" s="1"/>
      <c r="N127" s="1"/>
    </row>
    <row r="128" spans="11:14" x14ac:dyDescent="0.2">
      <c r="K128" s="1"/>
      <c r="L128" s="1"/>
      <c r="M128" s="1"/>
      <c r="N128" s="1"/>
    </row>
    <row r="129" spans="11:14" x14ac:dyDescent="0.2">
      <c r="K129" s="1"/>
      <c r="L129" s="1"/>
      <c r="M129" s="1"/>
      <c r="N129" s="1"/>
    </row>
    <row r="130" spans="11:14" x14ac:dyDescent="0.2">
      <c r="K130" s="1"/>
      <c r="L130" s="1"/>
      <c r="M130" s="1"/>
      <c r="N130" s="1"/>
    </row>
    <row r="131" spans="11:14" x14ac:dyDescent="0.2">
      <c r="K131" s="1"/>
      <c r="L131" s="1"/>
      <c r="M131" s="1"/>
      <c r="N131" s="1"/>
    </row>
    <row r="132" spans="11:14" x14ac:dyDescent="0.2">
      <c r="K132" s="1"/>
      <c r="L132" s="1"/>
      <c r="M132" s="1"/>
      <c r="N132" s="1"/>
    </row>
    <row r="133" spans="11:14" x14ac:dyDescent="0.2">
      <c r="K133" s="1"/>
      <c r="L133" s="1"/>
      <c r="M133" s="1"/>
      <c r="N133" s="1"/>
    </row>
    <row r="134" spans="11:14" x14ac:dyDescent="0.2">
      <c r="K134" s="1"/>
      <c r="L134" s="1"/>
      <c r="M134" s="1"/>
      <c r="N134" s="1"/>
    </row>
    <row r="135" spans="11:14" x14ac:dyDescent="0.2">
      <c r="K135" s="1"/>
      <c r="L135" s="1"/>
      <c r="M135" s="1"/>
      <c r="N135" s="1"/>
    </row>
    <row r="136" spans="11:14" x14ac:dyDescent="0.2">
      <c r="K136" s="1"/>
      <c r="L136" s="1"/>
      <c r="M136" s="1"/>
      <c r="N136" s="1"/>
    </row>
    <row r="137" spans="11:14" x14ac:dyDescent="0.2">
      <c r="K137" s="1"/>
      <c r="L137" s="1"/>
      <c r="M137" s="1"/>
      <c r="N137" s="1"/>
    </row>
    <row r="138" spans="11:14" x14ac:dyDescent="0.2">
      <c r="K138" s="1"/>
      <c r="L138" s="1"/>
      <c r="M138" s="1"/>
      <c r="N138" s="1"/>
    </row>
    <row r="139" spans="11:14" x14ac:dyDescent="0.2">
      <c r="K139" s="1"/>
      <c r="L139" s="1"/>
      <c r="M139" s="1"/>
      <c r="N139" s="1"/>
    </row>
    <row r="140" spans="11:14" x14ac:dyDescent="0.2">
      <c r="K140" s="1"/>
      <c r="L140" s="1"/>
      <c r="M140" s="1"/>
      <c r="N140" s="1"/>
    </row>
    <row r="141" spans="11:14" x14ac:dyDescent="0.2">
      <c r="K141" s="1"/>
      <c r="L141" s="1"/>
      <c r="M141" s="1"/>
      <c r="N141" s="1"/>
    </row>
    <row r="142" spans="11:14" x14ac:dyDescent="0.2">
      <c r="K142" s="1"/>
      <c r="L142" s="1"/>
      <c r="M142" s="1"/>
      <c r="N142" s="1"/>
    </row>
    <row r="143" spans="11:14" x14ac:dyDescent="0.2">
      <c r="K143" s="1"/>
      <c r="L143" s="1"/>
      <c r="M143" s="1"/>
      <c r="N143" s="1"/>
    </row>
    <row r="144" spans="11:14" x14ac:dyDescent="0.2">
      <c r="K144" s="1"/>
      <c r="L144" s="1"/>
      <c r="M144" s="1"/>
      <c r="N144" s="1"/>
    </row>
    <row r="145" spans="11:14" x14ac:dyDescent="0.2">
      <c r="K145" s="1"/>
      <c r="L145" s="1"/>
      <c r="M145" s="1"/>
      <c r="N145" s="1"/>
    </row>
    <row r="146" spans="11:14" x14ac:dyDescent="0.2">
      <c r="K146" s="1"/>
      <c r="L146" s="1"/>
      <c r="M146" s="1"/>
      <c r="N146" s="1"/>
    </row>
    <row r="147" spans="11:14" x14ac:dyDescent="0.2">
      <c r="K147" s="1"/>
      <c r="L147" s="1"/>
      <c r="M147" s="1"/>
      <c r="N147" s="1"/>
    </row>
    <row r="148" spans="11:14" x14ac:dyDescent="0.2">
      <c r="K148" s="1"/>
      <c r="L148" s="1"/>
      <c r="M148" s="1"/>
      <c r="N148" s="1"/>
    </row>
    <row r="149" spans="11:14" x14ac:dyDescent="0.2">
      <c r="K149" s="1"/>
      <c r="L149" s="1"/>
      <c r="M149" s="1"/>
      <c r="N149" s="1"/>
    </row>
    <row r="150" spans="11:14" x14ac:dyDescent="0.2">
      <c r="K150" s="1"/>
      <c r="L150" s="1"/>
      <c r="M150" s="1"/>
      <c r="N150" s="1"/>
    </row>
    <row r="151" spans="11:14" x14ac:dyDescent="0.2">
      <c r="K151" s="1"/>
      <c r="L151" s="1"/>
      <c r="M151" s="1"/>
      <c r="N151" s="1"/>
    </row>
    <row r="152" spans="11:14" x14ac:dyDescent="0.2">
      <c r="K152" s="1"/>
      <c r="L152" s="1"/>
      <c r="M152" s="1"/>
      <c r="N152" s="1"/>
    </row>
    <row r="153" spans="11:14" x14ac:dyDescent="0.2">
      <c r="K153" s="1"/>
      <c r="L153" s="1"/>
      <c r="M153" s="1"/>
      <c r="N153" s="1"/>
    </row>
    <row r="154" spans="11:14" x14ac:dyDescent="0.2">
      <c r="K154" s="1"/>
      <c r="L154" s="1"/>
      <c r="M154" s="1"/>
      <c r="N154" s="1"/>
    </row>
    <row r="155" spans="11:14" x14ac:dyDescent="0.2">
      <c r="K155" s="1"/>
      <c r="L155" s="1"/>
      <c r="M155" s="1"/>
      <c r="N155" s="1"/>
    </row>
    <row r="156" spans="11:14" x14ac:dyDescent="0.2">
      <c r="K156" s="1"/>
      <c r="L156" s="1"/>
      <c r="M156" s="1"/>
      <c r="N156" s="1"/>
    </row>
    <row r="157" spans="11:14" x14ac:dyDescent="0.2">
      <c r="K157" s="1"/>
      <c r="L157" s="1"/>
      <c r="M157" s="1"/>
      <c r="N157" s="1"/>
    </row>
    <row r="158" spans="11:14" x14ac:dyDescent="0.2">
      <c r="K158" s="1"/>
      <c r="L158" s="1"/>
      <c r="M158" s="1"/>
      <c r="N158" s="1"/>
    </row>
    <row r="159" spans="11:14" x14ac:dyDescent="0.2">
      <c r="K159" s="1"/>
      <c r="L159" s="1"/>
      <c r="M159" s="1"/>
      <c r="N159" s="1"/>
    </row>
    <row r="160" spans="11:14" x14ac:dyDescent="0.2">
      <c r="K160" s="1"/>
      <c r="L160" s="1"/>
      <c r="M160" s="1"/>
      <c r="N160" s="1"/>
    </row>
    <row r="161" spans="11:14" x14ac:dyDescent="0.2">
      <c r="K161" s="1"/>
      <c r="L161" s="1"/>
      <c r="M161" s="1"/>
      <c r="N161" s="1"/>
    </row>
    <row r="162" spans="11:14" x14ac:dyDescent="0.2">
      <c r="K162" s="1"/>
      <c r="L162" s="1"/>
      <c r="M162" s="1"/>
      <c r="N162" s="1"/>
    </row>
    <row r="163" spans="11:14" x14ac:dyDescent="0.2">
      <c r="K163" s="1"/>
      <c r="L163" s="1"/>
      <c r="M163" s="1"/>
      <c r="N163" s="1"/>
    </row>
    <row r="164" spans="11:14" x14ac:dyDescent="0.2">
      <c r="K164" s="1"/>
      <c r="L164" s="1"/>
      <c r="M164" s="1"/>
      <c r="N164" s="1"/>
    </row>
    <row r="165" spans="11:14" x14ac:dyDescent="0.2">
      <c r="K165" s="1"/>
      <c r="L165" s="1"/>
      <c r="M165" s="1"/>
      <c r="N165" s="1"/>
    </row>
    <row r="166" spans="11:14" x14ac:dyDescent="0.2">
      <c r="K166" s="1"/>
      <c r="L166" s="1"/>
      <c r="M166" s="1"/>
      <c r="N166" s="1"/>
    </row>
    <row r="167" spans="11:14" x14ac:dyDescent="0.2">
      <c r="K167" s="1"/>
      <c r="L167" s="1"/>
      <c r="M167" s="1"/>
      <c r="N167" s="1"/>
    </row>
    <row r="168" spans="11:14" x14ac:dyDescent="0.2">
      <c r="K168" s="1"/>
      <c r="L168" s="1"/>
      <c r="M168" s="1"/>
      <c r="N168" s="1"/>
    </row>
    <row r="169" spans="11:14" x14ac:dyDescent="0.2">
      <c r="K169" s="1"/>
      <c r="L169" s="1"/>
      <c r="M169" s="1"/>
      <c r="N169" s="1"/>
    </row>
    <row r="170" spans="11:14" x14ac:dyDescent="0.2">
      <c r="K170" s="1"/>
      <c r="L170" s="1"/>
      <c r="M170" s="1"/>
      <c r="N170" s="1"/>
    </row>
    <row r="171" spans="11:14" x14ac:dyDescent="0.2">
      <c r="K171" s="1"/>
      <c r="L171" s="1"/>
      <c r="M171" s="1"/>
      <c r="N171" s="1"/>
    </row>
    <row r="172" spans="11:14" x14ac:dyDescent="0.2">
      <c r="K172" s="1"/>
      <c r="L172" s="1"/>
      <c r="M172" s="1"/>
      <c r="N172" s="1"/>
    </row>
    <row r="173" spans="11:14" x14ac:dyDescent="0.2">
      <c r="K173" s="1"/>
      <c r="L173" s="1"/>
      <c r="M173" s="1"/>
      <c r="N173" s="1"/>
    </row>
    <row r="174" spans="11:14" x14ac:dyDescent="0.2">
      <c r="K174" s="1"/>
      <c r="L174" s="1"/>
      <c r="M174" s="1"/>
      <c r="N174" s="1"/>
    </row>
    <row r="175" spans="11:14" x14ac:dyDescent="0.2">
      <c r="K175" s="1"/>
      <c r="L175" s="1"/>
      <c r="M175" s="1"/>
      <c r="N175" s="1"/>
    </row>
    <row r="176" spans="11:14" x14ac:dyDescent="0.2">
      <c r="K176" s="1"/>
      <c r="L176" s="1"/>
      <c r="M176" s="1"/>
      <c r="N176" s="1"/>
    </row>
    <row r="177" spans="11:14" x14ac:dyDescent="0.2">
      <c r="K177" s="1"/>
      <c r="L177" s="1"/>
      <c r="M177" s="1"/>
      <c r="N177" s="1"/>
    </row>
    <row r="178" spans="11:14" x14ac:dyDescent="0.2">
      <c r="K178" s="1"/>
      <c r="L178" s="1"/>
      <c r="M178" s="1"/>
      <c r="N178" s="1"/>
    </row>
    <row r="179" spans="11:14" x14ac:dyDescent="0.2">
      <c r="K179" s="1"/>
      <c r="L179" s="1"/>
      <c r="M179" s="1"/>
      <c r="N179" s="1"/>
    </row>
    <row r="180" spans="11:14" x14ac:dyDescent="0.2">
      <c r="K180" s="1"/>
      <c r="L180" s="1"/>
      <c r="M180" s="1"/>
      <c r="N180" s="1"/>
    </row>
    <row r="181" spans="11:14" x14ac:dyDescent="0.2">
      <c r="K181" s="1"/>
      <c r="L181" s="1"/>
      <c r="M181" s="1"/>
      <c r="N181" s="1"/>
    </row>
    <row r="182" spans="11:14" x14ac:dyDescent="0.2">
      <c r="K182" s="1"/>
      <c r="L182" s="1"/>
      <c r="M182" s="1"/>
      <c r="N182" s="1"/>
    </row>
    <row r="183" spans="11:14" x14ac:dyDescent="0.2">
      <c r="K183" s="1"/>
      <c r="L183" s="1"/>
      <c r="M183" s="1"/>
      <c r="N183" s="1"/>
    </row>
    <row r="184" spans="11:14" x14ac:dyDescent="0.2">
      <c r="K184" s="1"/>
      <c r="L184" s="1"/>
      <c r="M184" s="1"/>
      <c r="N184" s="1"/>
    </row>
    <row r="185" spans="11:14" x14ac:dyDescent="0.2">
      <c r="K185" s="1"/>
      <c r="L185" s="1"/>
      <c r="M185" s="1"/>
      <c r="N185" s="1"/>
    </row>
    <row r="186" spans="11:14" x14ac:dyDescent="0.2">
      <c r="K186" s="1"/>
      <c r="L186" s="1"/>
      <c r="M186" s="1"/>
      <c r="N186" s="1"/>
    </row>
    <row r="187" spans="11:14" x14ac:dyDescent="0.2">
      <c r="K187" s="1"/>
      <c r="L187" s="1"/>
      <c r="M187" s="1"/>
      <c r="N187" s="1"/>
    </row>
    <row r="188" spans="11:14" x14ac:dyDescent="0.2">
      <c r="K188" s="1"/>
      <c r="L188" s="1"/>
      <c r="M188" s="1"/>
      <c r="N188" s="1"/>
    </row>
    <row r="189" spans="11:14" x14ac:dyDescent="0.2">
      <c r="K189" s="1"/>
      <c r="L189" s="1"/>
      <c r="M189" s="1"/>
      <c r="N189" s="1"/>
    </row>
    <row r="190" spans="11:14" x14ac:dyDescent="0.2">
      <c r="K190" s="1"/>
      <c r="L190" s="1"/>
      <c r="M190" s="1"/>
      <c r="N190" s="1"/>
    </row>
    <row r="191" spans="11:14" x14ac:dyDescent="0.2">
      <c r="K191" s="1"/>
      <c r="L191" s="1"/>
      <c r="M191" s="1"/>
      <c r="N191" s="1"/>
    </row>
    <row r="192" spans="11:14" x14ac:dyDescent="0.2">
      <c r="K192" s="1"/>
      <c r="L192" s="1"/>
      <c r="M192" s="1"/>
      <c r="N192" s="1"/>
    </row>
    <row r="193" spans="11:14" x14ac:dyDescent="0.2">
      <c r="K193" s="1"/>
      <c r="L193" s="1"/>
      <c r="M193" s="1"/>
      <c r="N193" s="1"/>
    </row>
    <row r="194" spans="11:14" x14ac:dyDescent="0.2">
      <c r="K194" s="1"/>
      <c r="L194" s="1"/>
      <c r="M194" s="1"/>
      <c r="N194" s="1"/>
    </row>
    <row r="195" spans="11:14" x14ac:dyDescent="0.2">
      <c r="K195" s="1"/>
      <c r="L195" s="1"/>
      <c r="M195" s="1"/>
      <c r="N195" s="1"/>
    </row>
    <row r="196" spans="11:14" x14ac:dyDescent="0.2">
      <c r="K196" s="1"/>
      <c r="L196" s="1"/>
      <c r="M196" s="1"/>
      <c r="N196" s="1"/>
    </row>
    <row r="197" spans="11:14" x14ac:dyDescent="0.2">
      <c r="K197" s="1"/>
      <c r="L197" s="1"/>
      <c r="M197" s="1"/>
      <c r="N197" s="1"/>
    </row>
    <row r="198" spans="11:14" x14ac:dyDescent="0.2">
      <c r="K198" s="1"/>
      <c r="L198" s="1"/>
      <c r="M198" s="1"/>
      <c r="N198" s="1"/>
    </row>
    <row r="199" spans="11:14" x14ac:dyDescent="0.2">
      <c r="K199" s="1"/>
      <c r="L199" s="1"/>
      <c r="M199" s="1"/>
      <c r="N199" s="1"/>
    </row>
    <row r="200" spans="11:14" x14ac:dyDescent="0.2">
      <c r="K200" s="1"/>
      <c r="L200" s="1"/>
      <c r="M200" s="1"/>
      <c r="N200" s="1"/>
    </row>
    <row r="201" spans="11:14" x14ac:dyDescent="0.2">
      <c r="K201" s="1"/>
      <c r="L201" s="1"/>
      <c r="M201" s="1"/>
      <c r="N201" s="1"/>
    </row>
    <row r="202" spans="11:14" x14ac:dyDescent="0.2">
      <c r="K202" s="1"/>
      <c r="L202" s="1"/>
      <c r="M202" s="1"/>
      <c r="N202" s="1"/>
    </row>
    <row r="203" spans="11:14" x14ac:dyDescent="0.2">
      <c r="K203" s="1"/>
      <c r="L203" s="1"/>
      <c r="M203" s="1"/>
      <c r="N203" s="1"/>
    </row>
    <row r="204" spans="11:14" x14ac:dyDescent="0.2">
      <c r="K204" s="1"/>
      <c r="L204" s="1"/>
      <c r="M204" s="1"/>
      <c r="N204" s="1"/>
    </row>
    <row r="205" spans="11:14" x14ac:dyDescent="0.2">
      <c r="K205" s="1"/>
      <c r="L205" s="1"/>
      <c r="M205" s="1"/>
      <c r="N205" s="1"/>
    </row>
    <row r="206" spans="11:14" x14ac:dyDescent="0.2">
      <c r="K206" s="1"/>
      <c r="L206" s="1"/>
      <c r="M206" s="1"/>
      <c r="N206" s="1"/>
    </row>
    <row r="207" spans="11:14" x14ac:dyDescent="0.2">
      <c r="K207" s="1"/>
      <c r="L207" s="1"/>
      <c r="M207" s="1"/>
      <c r="N207" s="1"/>
    </row>
    <row r="208" spans="11:14" x14ac:dyDescent="0.2">
      <c r="K208" s="1"/>
      <c r="L208" s="1"/>
      <c r="M208" s="1"/>
      <c r="N208" s="1"/>
    </row>
    <row r="209" spans="11:14" x14ac:dyDescent="0.2">
      <c r="K209" s="1"/>
      <c r="L209" s="1"/>
      <c r="M209" s="1"/>
      <c r="N209" s="1"/>
    </row>
    <row r="210" spans="11:14" x14ac:dyDescent="0.2">
      <c r="K210" s="1"/>
      <c r="L210" s="1"/>
      <c r="M210" s="1"/>
      <c r="N210" s="1"/>
    </row>
    <row r="211" spans="11:14" x14ac:dyDescent="0.2">
      <c r="K211" s="1"/>
      <c r="L211" s="1"/>
      <c r="M211" s="1"/>
      <c r="N211" s="1"/>
    </row>
    <row r="212" spans="11:14" x14ac:dyDescent="0.2">
      <c r="K212" s="1"/>
      <c r="L212" s="1"/>
      <c r="M212" s="1"/>
      <c r="N212" s="1"/>
    </row>
    <row r="213" spans="11:14" x14ac:dyDescent="0.2">
      <c r="K213" s="1"/>
      <c r="L213" s="1"/>
      <c r="M213" s="1"/>
      <c r="N213" s="1"/>
    </row>
    <row r="214" spans="11:14" x14ac:dyDescent="0.2">
      <c r="K214" s="1"/>
      <c r="L214" s="1"/>
      <c r="M214" s="1"/>
      <c r="N214" s="1"/>
    </row>
    <row r="215" spans="11:14" x14ac:dyDescent="0.2">
      <c r="K215" s="1"/>
      <c r="L215" s="1"/>
      <c r="M215" s="1"/>
      <c r="N215" s="1"/>
    </row>
    <row r="216" spans="11:14" x14ac:dyDescent="0.2">
      <c r="K216" s="1"/>
      <c r="L216" s="1"/>
      <c r="M216" s="1"/>
      <c r="N216" s="1"/>
    </row>
    <row r="217" spans="11:14" x14ac:dyDescent="0.2">
      <c r="K217" s="1"/>
      <c r="L217" s="1"/>
      <c r="M217" s="1"/>
      <c r="N217" s="1"/>
    </row>
    <row r="218" spans="11:14" x14ac:dyDescent="0.2">
      <c r="K218" s="1"/>
      <c r="L218" s="1"/>
      <c r="M218" s="1"/>
      <c r="N218" s="1"/>
    </row>
    <row r="219" spans="11:14" x14ac:dyDescent="0.2">
      <c r="K219" s="1"/>
      <c r="L219" s="1"/>
      <c r="M219" s="1"/>
      <c r="N219" s="1"/>
    </row>
    <row r="220" spans="11:14" x14ac:dyDescent="0.2">
      <c r="K220" s="1"/>
      <c r="L220" s="1"/>
      <c r="M220" s="1"/>
      <c r="N220" s="1"/>
    </row>
    <row r="221" spans="11:14" x14ac:dyDescent="0.2">
      <c r="K221" s="1"/>
      <c r="L221" s="1"/>
      <c r="M221" s="1"/>
      <c r="N221" s="1"/>
    </row>
    <row r="222" spans="11:14" x14ac:dyDescent="0.2">
      <c r="K222" s="1"/>
      <c r="L222" s="1"/>
      <c r="M222" s="1"/>
      <c r="N222" s="1"/>
    </row>
    <row r="223" spans="11:14" x14ac:dyDescent="0.2">
      <c r="K223" s="1"/>
      <c r="L223" s="1"/>
      <c r="M223" s="1"/>
      <c r="N223" s="1"/>
    </row>
    <row r="224" spans="11:14" x14ac:dyDescent="0.2">
      <c r="K224" s="1"/>
      <c r="L224" s="1"/>
      <c r="M224" s="1"/>
      <c r="N224" s="1"/>
    </row>
    <row r="225" spans="11:14" x14ac:dyDescent="0.2">
      <c r="K225" s="1"/>
      <c r="L225" s="1"/>
      <c r="M225" s="1"/>
      <c r="N225" s="1"/>
    </row>
    <row r="226" spans="11:14" x14ac:dyDescent="0.2">
      <c r="K226" s="1"/>
      <c r="L226" s="1"/>
      <c r="M226" s="1"/>
      <c r="N226" s="1"/>
    </row>
    <row r="227" spans="11:14" x14ac:dyDescent="0.2">
      <c r="K227" s="1"/>
      <c r="L227" s="1"/>
      <c r="M227" s="1"/>
      <c r="N227" s="1"/>
    </row>
    <row r="228" spans="11:14" x14ac:dyDescent="0.2">
      <c r="K228" s="1"/>
      <c r="L228" s="1"/>
      <c r="M228" s="1"/>
      <c r="N228" s="1"/>
    </row>
    <row r="229" spans="11:14" x14ac:dyDescent="0.2">
      <c r="K229" s="1"/>
      <c r="L229" s="1"/>
      <c r="M229" s="1"/>
      <c r="N229" s="1"/>
    </row>
    <row r="230" spans="11:14" x14ac:dyDescent="0.2">
      <c r="K230" s="1"/>
      <c r="L230" s="1"/>
      <c r="M230" s="1"/>
      <c r="N230" s="1"/>
    </row>
    <row r="231" spans="11:14" x14ac:dyDescent="0.2">
      <c r="K231" s="1"/>
      <c r="L231" s="1"/>
      <c r="M231" s="1"/>
      <c r="N231" s="1"/>
    </row>
    <row r="232" spans="11:14" x14ac:dyDescent="0.2">
      <c r="K232" s="1"/>
      <c r="L232" s="1"/>
      <c r="M232" s="1"/>
      <c r="N232" s="1"/>
    </row>
    <row r="233" spans="11:14" x14ac:dyDescent="0.2">
      <c r="K233" s="1"/>
      <c r="L233" s="1"/>
      <c r="M233" s="1"/>
      <c r="N233" s="1"/>
    </row>
    <row r="234" spans="11:14" x14ac:dyDescent="0.2">
      <c r="K234" s="1"/>
      <c r="L234" s="1"/>
      <c r="M234" s="1"/>
      <c r="N234" s="1"/>
    </row>
    <row r="235" spans="11:14" x14ac:dyDescent="0.2">
      <c r="K235" s="1"/>
      <c r="L235" s="1"/>
      <c r="M235" s="1"/>
      <c r="N235" s="1"/>
    </row>
    <row r="236" spans="11:14" x14ac:dyDescent="0.2">
      <c r="K236" s="1"/>
      <c r="L236" s="1"/>
      <c r="M236" s="1"/>
      <c r="N236" s="1"/>
    </row>
    <row r="237" spans="11:14" x14ac:dyDescent="0.2">
      <c r="K237" s="1"/>
      <c r="L237" s="1"/>
      <c r="M237" s="1"/>
      <c r="N237" s="1"/>
    </row>
    <row r="238" spans="11:14" x14ac:dyDescent="0.2">
      <c r="K238" s="1"/>
      <c r="L238" s="1"/>
      <c r="M238" s="1"/>
      <c r="N238" s="1"/>
    </row>
    <row r="239" spans="11:14" x14ac:dyDescent="0.2">
      <c r="K239" s="1"/>
      <c r="L239" s="1"/>
      <c r="M239" s="1"/>
      <c r="N239" s="1"/>
    </row>
    <row r="240" spans="11:14" x14ac:dyDescent="0.2">
      <c r="K240" s="1"/>
      <c r="L240" s="1"/>
      <c r="M240" s="1"/>
      <c r="N240" s="1"/>
    </row>
    <row r="241" spans="11:14" x14ac:dyDescent="0.2">
      <c r="K241" s="1"/>
      <c r="L241" s="1"/>
      <c r="M241" s="1"/>
      <c r="N241" s="1"/>
    </row>
    <row r="242" spans="11:14" x14ac:dyDescent="0.2">
      <c r="K242" s="1"/>
      <c r="L242" s="1"/>
      <c r="M242" s="1"/>
      <c r="N242" s="1"/>
    </row>
    <row r="243" spans="11:14" x14ac:dyDescent="0.2">
      <c r="K243" s="1"/>
      <c r="L243" s="1"/>
      <c r="M243" s="1"/>
      <c r="N243" s="1"/>
    </row>
    <row r="244" spans="11:14" x14ac:dyDescent="0.2">
      <c r="K244" s="1"/>
      <c r="L244" s="1"/>
      <c r="M244" s="1"/>
      <c r="N244" s="1"/>
    </row>
    <row r="245" spans="11:14" x14ac:dyDescent="0.2">
      <c r="K245" s="1"/>
      <c r="L245" s="1"/>
      <c r="M245" s="1"/>
      <c r="N245" s="1"/>
    </row>
    <row r="246" spans="11:14" x14ac:dyDescent="0.2">
      <c r="K246" s="1"/>
      <c r="L246" s="1"/>
      <c r="M246" s="1"/>
      <c r="N246" s="1"/>
    </row>
    <row r="247" spans="11:14" x14ac:dyDescent="0.2">
      <c r="K247" s="1"/>
      <c r="L247" s="1"/>
      <c r="M247" s="1"/>
      <c r="N247" s="1"/>
    </row>
    <row r="248" spans="11:14" x14ac:dyDescent="0.2">
      <c r="K248" s="1"/>
      <c r="L248" s="1"/>
      <c r="M248" s="1"/>
      <c r="N248" s="1"/>
    </row>
    <row r="249" spans="11:14" x14ac:dyDescent="0.2">
      <c r="K249" s="1"/>
      <c r="L249" s="1"/>
      <c r="M249" s="1"/>
      <c r="N249" s="1"/>
    </row>
    <row r="250" spans="11:14" x14ac:dyDescent="0.2">
      <c r="K250" s="1"/>
      <c r="L250" s="1"/>
      <c r="M250" s="1"/>
      <c r="N250" s="1"/>
    </row>
    <row r="251" spans="11:14" x14ac:dyDescent="0.2">
      <c r="K251" s="1"/>
      <c r="L251" s="1"/>
      <c r="M251" s="1"/>
      <c r="N251" s="1"/>
    </row>
    <row r="252" spans="11:14" x14ac:dyDescent="0.2">
      <c r="K252" s="1"/>
      <c r="L252" s="1"/>
      <c r="M252" s="1"/>
      <c r="N252" s="1"/>
    </row>
    <row r="253" spans="11:14" x14ac:dyDescent="0.2">
      <c r="K253" s="1"/>
      <c r="L253" s="1"/>
      <c r="M253" s="1"/>
      <c r="N253" s="1"/>
    </row>
    <row r="254" spans="11:14" x14ac:dyDescent="0.2">
      <c r="K254" s="1"/>
      <c r="L254" s="1"/>
      <c r="M254" s="1"/>
      <c r="N254" s="1"/>
    </row>
    <row r="255" spans="11:14" x14ac:dyDescent="0.2">
      <c r="K255" s="1"/>
      <c r="L255" s="1"/>
      <c r="M255" s="1"/>
      <c r="N255" s="1"/>
    </row>
    <row r="256" spans="11:14" x14ac:dyDescent="0.2">
      <c r="K256" s="1"/>
      <c r="L256" s="1"/>
      <c r="M256" s="1"/>
      <c r="N256" s="1"/>
    </row>
    <row r="257" spans="3:14" x14ac:dyDescent="0.2">
      <c r="C257" s="122">
        <f>Personalização!Q43+7</f>
        <v>45705</v>
      </c>
      <c r="K257" s="1"/>
      <c r="L257" s="1"/>
      <c r="M257" s="1"/>
      <c r="N257" s="1"/>
    </row>
    <row r="258" spans="3:14" x14ac:dyDescent="0.2">
      <c r="K258" s="1"/>
      <c r="L258" s="1"/>
      <c r="M258" s="1"/>
      <c r="N258" s="1"/>
    </row>
    <row r="259" spans="3:14" x14ac:dyDescent="0.2">
      <c r="K259" s="1"/>
      <c r="L259" s="1"/>
      <c r="M259" s="1"/>
      <c r="N259" s="1"/>
    </row>
    <row r="260" spans="3:14" x14ac:dyDescent="0.2">
      <c r="K260" s="1"/>
      <c r="L260" s="1"/>
      <c r="M260" s="1"/>
      <c r="N260" s="1"/>
    </row>
    <row r="261" spans="3:14" x14ac:dyDescent="0.2">
      <c r="K261" s="1"/>
      <c r="L261" s="1"/>
      <c r="M261" s="1"/>
      <c r="N261" s="1"/>
    </row>
    <row r="262" spans="3:14" x14ac:dyDescent="0.2">
      <c r="K262" s="1"/>
      <c r="L262" s="1"/>
      <c r="M262" s="1"/>
      <c r="N262" s="1"/>
    </row>
    <row r="263" spans="3:14" x14ac:dyDescent="0.2">
      <c r="K263" s="1"/>
      <c r="L263" s="1"/>
      <c r="M263" s="1"/>
      <c r="N263" s="1"/>
    </row>
    <row r="264" spans="3:14" x14ac:dyDescent="0.2">
      <c r="K264" s="1"/>
      <c r="L264" s="1"/>
      <c r="M264" s="1"/>
      <c r="N264" s="1"/>
    </row>
    <row r="265" spans="3:14" x14ac:dyDescent="0.2">
      <c r="K265" s="1"/>
      <c r="L265" s="1"/>
      <c r="M265" s="1"/>
      <c r="N265" s="1"/>
    </row>
    <row r="266" spans="3:14" x14ac:dyDescent="0.2">
      <c r="K266" s="1"/>
      <c r="L266" s="1"/>
      <c r="M266" s="1"/>
      <c r="N266" s="1"/>
    </row>
    <row r="267" spans="3:14" x14ac:dyDescent="0.2">
      <c r="K267" s="1"/>
      <c r="L267" s="1"/>
      <c r="M267" s="1"/>
      <c r="N267" s="1"/>
    </row>
    <row r="268" spans="3:14" x14ac:dyDescent="0.2">
      <c r="K268" s="1"/>
      <c r="L268" s="1"/>
      <c r="M268" s="1"/>
      <c r="N268" s="1"/>
    </row>
    <row r="269" spans="3:14" x14ac:dyDescent="0.2">
      <c r="K269" s="1"/>
      <c r="L269" s="1"/>
      <c r="M269" s="1"/>
      <c r="N269" s="1"/>
    </row>
    <row r="270" spans="3:14" x14ac:dyDescent="0.2">
      <c r="K270" s="1"/>
      <c r="L270" s="1"/>
      <c r="M270" s="1"/>
      <c r="N270" s="1"/>
    </row>
    <row r="271" spans="3:14" x14ac:dyDescent="0.2">
      <c r="K271" s="1"/>
      <c r="L271" s="1"/>
      <c r="M271" s="1"/>
      <c r="N271" s="1"/>
    </row>
    <row r="272" spans="3:14" x14ac:dyDescent="0.2">
      <c r="K272" s="1"/>
      <c r="L272" s="1"/>
      <c r="M272" s="1"/>
      <c r="N272" s="1"/>
    </row>
    <row r="273" spans="11:14" x14ac:dyDescent="0.2">
      <c r="K273" s="1"/>
      <c r="L273" s="1"/>
      <c r="M273" s="1"/>
      <c r="N273" s="1"/>
    </row>
    <row r="274" spans="11:14" x14ac:dyDescent="0.2">
      <c r="K274" s="1"/>
      <c r="L274" s="1"/>
      <c r="M274" s="1"/>
      <c r="N274" s="1"/>
    </row>
    <row r="275" spans="11:14" x14ac:dyDescent="0.2">
      <c r="K275" s="1"/>
      <c r="L275" s="1"/>
      <c r="M275" s="1"/>
      <c r="N275" s="1"/>
    </row>
    <row r="276" spans="11:14" x14ac:dyDescent="0.2">
      <c r="K276" s="1"/>
      <c r="L276" s="1"/>
      <c r="M276" s="1"/>
      <c r="N276" s="1"/>
    </row>
    <row r="277" spans="11:14" x14ac:dyDescent="0.2">
      <c r="K277" s="1"/>
      <c r="L277" s="1"/>
      <c r="M277" s="1"/>
      <c r="N277" s="1"/>
    </row>
    <row r="278" spans="11:14" x14ac:dyDescent="0.2">
      <c r="K278" s="1"/>
      <c r="L278" s="1"/>
      <c r="M278" s="1"/>
      <c r="N278" s="1"/>
    </row>
    <row r="279" spans="11:14" x14ac:dyDescent="0.2">
      <c r="K279" s="1"/>
      <c r="L279" s="1"/>
      <c r="M279" s="1"/>
      <c r="N279" s="1"/>
    </row>
    <row r="280" spans="11:14" x14ac:dyDescent="0.2">
      <c r="K280" s="1"/>
      <c r="L280" s="1"/>
      <c r="M280" s="1"/>
      <c r="N280" s="1"/>
    </row>
    <row r="281" spans="11:14" x14ac:dyDescent="0.2">
      <c r="K281" s="1"/>
      <c r="L281" s="1"/>
      <c r="M281" s="1"/>
      <c r="N281" s="1"/>
    </row>
    <row r="282" spans="11:14" x14ac:dyDescent="0.2">
      <c r="K282" s="1"/>
      <c r="L282" s="1"/>
      <c r="M282" s="1"/>
      <c r="N282" s="1"/>
    </row>
    <row r="283" spans="11:14" x14ac:dyDescent="0.2">
      <c r="K283" s="1"/>
      <c r="L283" s="1"/>
      <c r="M283" s="1"/>
      <c r="N283" s="1"/>
    </row>
    <row r="284" spans="11:14" x14ac:dyDescent="0.2">
      <c r="K284" s="1"/>
      <c r="L284" s="1"/>
      <c r="M284" s="1"/>
      <c r="N284" s="1"/>
    </row>
    <row r="285" spans="11:14" x14ac:dyDescent="0.2">
      <c r="K285" s="1"/>
      <c r="L285" s="1"/>
      <c r="M285" s="1"/>
      <c r="N285" s="1"/>
    </row>
    <row r="286" spans="11:14" x14ac:dyDescent="0.2">
      <c r="K286" s="1"/>
      <c r="L286" s="1"/>
      <c r="M286" s="1"/>
      <c r="N286" s="1"/>
    </row>
    <row r="287" spans="11:14" x14ac:dyDescent="0.2">
      <c r="K287" s="1"/>
      <c r="L287" s="1"/>
      <c r="M287" s="1"/>
      <c r="N287" s="1"/>
    </row>
    <row r="288" spans="11:14" x14ac:dyDescent="0.2">
      <c r="K288" s="1"/>
      <c r="L288" s="1"/>
      <c r="M288" s="1"/>
      <c r="N288" s="1"/>
    </row>
    <row r="289" spans="11:14" x14ac:dyDescent="0.2">
      <c r="K289" s="1"/>
      <c r="L289" s="1"/>
      <c r="M289" s="1"/>
      <c r="N289" s="1"/>
    </row>
    <row r="290" spans="11:14" x14ac:dyDescent="0.2">
      <c r="K290" s="1"/>
      <c r="L290" s="1"/>
      <c r="M290" s="1"/>
      <c r="N290" s="1"/>
    </row>
    <row r="291" spans="11:14" x14ac:dyDescent="0.2">
      <c r="K291" s="1"/>
      <c r="L291" s="1"/>
      <c r="M291" s="1"/>
      <c r="N291" s="1"/>
    </row>
    <row r="292" spans="11:14" x14ac:dyDescent="0.2">
      <c r="K292" s="1"/>
      <c r="L292" s="1"/>
      <c r="M292" s="1"/>
      <c r="N292" s="1"/>
    </row>
    <row r="293" spans="11:14" x14ac:dyDescent="0.2">
      <c r="K293" s="1"/>
      <c r="L293" s="1"/>
      <c r="M293" s="1"/>
      <c r="N293" s="1"/>
    </row>
    <row r="294" spans="11:14" x14ac:dyDescent="0.2">
      <c r="K294" s="1"/>
      <c r="L294" s="1"/>
      <c r="M294" s="1"/>
      <c r="N294" s="1"/>
    </row>
    <row r="295" spans="11:14" x14ac:dyDescent="0.2">
      <c r="K295" s="1"/>
      <c r="L295" s="1"/>
      <c r="M295" s="1"/>
      <c r="N295" s="1"/>
    </row>
    <row r="296" spans="11:14" x14ac:dyDescent="0.2">
      <c r="K296" s="1"/>
      <c r="L296" s="1"/>
      <c r="M296" s="1"/>
      <c r="N296" s="1"/>
    </row>
    <row r="297" spans="11:14" x14ac:dyDescent="0.2">
      <c r="K297" s="1"/>
      <c r="L297" s="1"/>
      <c r="M297" s="1"/>
      <c r="N297" s="1"/>
    </row>
    <row r="298" spans="11:14" x14ac:dyDescent="0.2">
      <c r="K298" s="1"/>
      <c r="L298" s="1"/>
      <c r="M298" s="1"/>
      <c r="N298" s="1"/>
    </row>
    <row r="299" spans="11:14" x14ac:dyDescent="0.2">
      <c r="K299" s="1"/>
      <c r="L299" s="1"/>
      <c r="M299" s="1"/>
      <c r="N299" s="1"/>
    </row>
    <row r="300" spans="11:14" x14ac:dyDescent="0.2">
      <c r="K300" s="1"/>
      <c r="L300" s="1"/>
      <c r="M300" s="1"/>
      <c r="N300" s="1"/>
    </row>
    <row r="301" spans="11:14" x14ac:dyDescent="0.2">
      <c r="K301" s="1"/>
      <c r="L301" s="1"/>
      <c r="M301" s="1"/>
      <c r="N301" s="1"/>
    </row>
    <row r="302" spans="11:14" x14ac:dyDescent="0.2">
      <c r="K302" s="1"/>
      <c r="L302" s="1"/>
      <c r="M302" s="1"/>
      <c r="N302" s="1"/>
    </row>
    <row r="303" spans="11:14" x14ac:dyDescent="0.2">
      <c r="K303" s="1"/>
      <c r="L303" s="1"/>
      <c r="M303" s="1"/>
      <c r="N303" s="1"/>
    </row>
    <row r="304" spans="11:14" x14ac:dyDescent="0.2">
      <c r="K304" s="1"/>
      <c r="L304" s="1"/>
      <c r="M304" s="1"/>
      <c r="N304" s="1"/>
    </row>
    <row r="305" spans="11:14" x14ac:dyDescent="0.2">
      <c r="K305" s="1"/>
      <c r="L305" s="1"/>
      <c r="M305" s="1"/>
      <c r="N305" s="1"/>
    </row>
    <row r="306" spans="11:14" x14ac:dyDescent="0.2">
      <c r="K306" s="1"/>
      <c r="L306" s="1"/>
      <c r="M306" s="1"/>
      <c r="N306" s="1"/>
    </row>
    <row r="307" spans="11:14" x14ac:dyDescent="0.2">
      <c r="K307" s="1"/>
      <c r="L307" s="1"/>
      <c r="M307" s="1"/>
      <c r="N307" s="1"/>
    </row>
    <row r="308" spans="11:14" x14ac:dyDescent="0.2">
      <c r="K308" s="1"/>
      <c r="L308" s="1"/>
      <c r="M308" s="1"/>
      <c r="N308" s="1"/>
    </row>
    <row r="309" spans="11:14" x14ac:dyDescent="0.2">
      <c r="K309" s="1"/>
      <c r="L309" s="1"/>
      <c r="M309" s="1"/>
      <c r="N309" s="1"/>
    </row>
    <row r="310" spans="11:14" x14ac:dyDescent="0.2">
      <c r="K310" s="1"/>
      <c r="L310" s="1"/>
      <c r="M310" s="1"/>
      <c r="N310" s="1"/>
    </row>
    <row r="311" spans="11:14" x14ac:dyDescent="0.2">
      <c r="K311" s="1"/>
      <c r="L311" s="1"/>
      <c r="M311" s="1"/>
      <c r="N311" s="1"/>
    </row>
    <row r="312" spans="11:14" x14ac:dyDescent="0.2">
      <c r="K312" s="1"/>
      <c r="L312" s="1"/>
      <c r="M312" s="1"/>
      <c r="N312" s="1"/>
    </row>
    <row r="313" spans="11:14" x14ac:dyDescent="0.2">
      <c r="K313" s="1"/>
      <c r="L313" s="1"/>
      <c r="M313" s="1"/>
      <c r="N313" s="1"/>
    </row>
    <row r="314" spans="11:14" x14ac:dyDescent="0.2">
      <c r="K314" s="1"/>
      <c r="L314" s="1"/>
      <c r="M314" s="1"/>
      <c r="N314" s="1"/>
    </row>
    <row r="315" spans="11:14" x14ac:dyDescent="0.2">
      <c r="K315" s="1"/>
      <c r="L315" s="1"/>
      <c r="M315" s="1"/>
      <c r="N315" s="1"/>
    </row>
    <row r="316" spans="11:14" x14ac:dyDescent="0.2">
      <c r="K316" s="1"/>
      <c r="L316" s="1"/>
      <c r="M316" s="1"/>
      <c r="N316" s="1"/>
    </row>
    <row r="317" spans="11:14" x14ac:dyDescent="0.2">
      <c r="K317" s="1"/>
      <c r="L317" s="1"/>
      <c r="M317" s="1"/>
      <c r="N317" s="1"/>
    </row>
    <row r="318" spans="11:14" x14ac:dyDescent="0.2">
      <c r="K318" s="1"/>
      <c r="L318" s="1"/>
      <c r="M318" s="1"/>
      <c r="N318" s="1"/>
    </row>
    <row r="319" spans="11:14" x14ac:dyDescent="0.2">
      <c r="K319" s="1"/>
      <c r="L319" s="1"/>
      <c r="M319" s="1"/>
      <c r="N319" s="1"/>
    </row>
    <row r="320" spans="11:14" x14ac:dyDescent="0.2">
      <c r="K320" s="1"/>
      <c r="L320" s="1"/>
      <c r="M320" s="1"/>
      <c r="N320" s="1"/>
    </row>
    <row r="321" spans="11:14" x14ac:dyDescent="0.2">
      <c r="K321" s="1"/>
      <c r="L321" s="1"/>
      <c r="M321" s="1"/>
      <c r="N321" s="1"/>
    </row>
    <row r="322" spans="11:14" x14ac:dyDescent="0.2">
      <c r="K322" s="1"/>
      <c r="L322" s="1"/>
      <c r="M322" s="1"/>
      <c r="N322" s="1"/>
    </row>
    <row r="323" spans="11:14" x14ac:dyDescent="0.2">
      <c r="K323" s="1"/>
      <c r="L323" s="1"/>
      <c r="M323" s="1"/>
      <c r="N323" s="1"/>
    </row>
    <row r="324" spans="11:14" x14ac:dyDescent="0.2">
      <c r="K324" s="1"/>
      <c r="L324" s="1"/>
      <c r="M324" s="1"/>
      <c r="N324" s="1"/>
    </row>
    <row r="325" spans="11:14" x14ac:dyDescent="0.2">
      <c r="K325" s="1"/>
      <c r="L325" s="1"/>
      <c r="M325" s="1"/>
      <c r="N325" s="1"/>
    </row>
    <row r="326" spans="11:14" x14ac:dyDescent="0.2">
      <c r="K326" s="1"/>
      <c r="L326" s="1"/>
      <c r="M326" s="1"/>
      <c r="N326" s="1"/>
    </row>
    <row r="327" spans="11:14" x14ac:dyDescent="0.2">
      <c r="K327" s="1"/>
      <c r="L327" s="1"/>
      <c r="M327" s="1"/>
      <c r="N327" s="1"/>
    </row>
    <row r="328" spans="11:14" x14ac:dyDescent="0.2">
      <c r="K328" s="1"/>
      <c r="L328" s="1"/>
      <c r="M328" s="1"/>
      <c r="N328" s="1"/>
    </row>
    <row r="329" spans="11:14" x14ac:dyDescent="0.2">
      <c r="K329" s="1"/>
      <c r="L329" s="1"/>
      <c r="M329" s="1"/>
      <c r="N329" s="1"/>
    </row>
    <row r="330" spans="11:14" x14ac:dyDescent="0.2">
      <c r="K330" s="1"/>
      <c r="L330" s="1"/>
      <c r="M330" s="1"/>
      <c r="N330" s="1"/>
    </row>
    <row r="331" spans="11:14" x14ac:dyDescent="0.2">
      <c r="K331" s="1"/>
      <c r="L331" s="1"/>
      <c r="M331" s="1"/>
      <c r="N331" s="1"/>
    </row>
    <row r="332" spans="11:14" x14ac:dyDescent="0.2">
      <c r="K332" s="1"/>
      <c r="L332" s="1"/>
      <c r="M332" s="1"/>
      <c r="N332" s="1"/>
    </row>
    <row r="333" spans="11:14" x14ac:dyDescent="0.2">
      <c r="K333" s="1"/>
      <c r="L333" s="1"/>
      <c r="M333" s="1"/>
      <c r="N333" s="1"/>
    </row>
    <row r="334" spans="11:14" x14ac:dyDescent="0.2">
      <c r="K334" s="1"/>
      <c r="L334" s="1"/>
      <c r="M334" s="1"/>
      <c r="N334" s="1"/>
    </row>
    <row r="335" spans="11:14" x14ac:dyDescent="0.2">
      <c r="K335" s="1"/>
      <c r="L335" s="1"/>
      <c r="M335" s="1"/>
      <c r="N335" s="1"/>
    </row>
    <row r="336" spans="11:14" x14ac:dyDescent="0.2">
      <c r="K336" s="1"/>
      <c r="L336" s="1"/>
      <c r="M336" s="1"/>
      <c r="N336" s="1"/>
    </row>
    <row r="337" spans="11:14" x14ac:dyDescent="0.2">
      <c r="K337" s="1"/>
      <c r="L337" s="1"/>
      <c r="M337" s="1"/>
      <c r="N337" s="1"/>
    </row>
    <row r="338" spans="11:14" x14ac:dyDescent="0.2">
      <c r="K338" s="1"/>
      <c r="L338" s="1"/>
      <c r="M338" s="1"/>
      <c r="N338" s="1"/>
    </row>
    <row r="339" spans="11:14" x14ac:dyDescent="0.2">
      <c r="K339" s="1"/>
      <c r="L339" s="1"/>
      <c r="M339" s="1"/>
      <c r="N339" s="1"/>
    </row>
    <row r="340" spans="11:14" x14ac:dyDescent="0.2">
      <c r="K340" s="1"/>
      <c r="L340" s="1"/>
      <c r="M340" s="1"/>
      <c r="N340" s="1"/>
    </row>
    <row r="341" spans="11:14" x14ac:dyDescent="0.2">
      <c r="K341" s="1"/>
      <c r="L341" s="1"/>
      <c r="M341" s="1"/>
      <c r="N341" s="1"/>
    </row>
    <row r="342" spans="11:14" x14ac:dyDescent="0.2">
      <c r="K342" s="1"/>
      <c r="L342" s="1"/>
      <c r="M342" s="1"/>
      <c r="N342" s="1"/>
    </row>
    <row r="343" spans="11:14" x14ac:dyDescent="0.2">
      <c r="K343" s="1"/>
      <c r="L343" s="1"/>
      <c r="M343" s="1"/>
      <c r="N343" s="1"/>
    </row>
    <row r="344" spans="11:14" x14ac:dyDescent="0.2">
      <c r="K344" s="1"/>
      <c r="L344" s="1"/>
      <c r="M344" s="1"/>
      <c r="N344" s="1"/>
    </row>
    <row r="345" spans="11:14" x14ac:dyDescent="0.2">
      <c r="K345" s="1"/>
      <c r="L345" s="1"/>
      <c r="M345" s="1"/>
      <c r="N345" s="1"/>
    </row>
    <row r="346" spans="11:14" x14ac:dyDescent="0.2">
      <c r="K346" s="1"/>
      <c r="L346" s="1"/>
      <c r="M346" s="1"/>
      <c r="N346" s="1"/>
    </row>
    <row r="347" spans="11:14" x14ac:dyDescent="0.2">
      <c r="K347" s="1"/>
      <c r="L347" s="1"/>
      <c r="M347" s="1"/>
      <c r="N347" s="1"/>
    </row>
    <row r="348" spans="11:14" x14ac:dyDescent="0.2">
      <c r="K348" s="1"/>
      <c r="L348" s="1"/>
      <c r="M348" s="1"/>
      <c r="N348" s="1"/>
    </row>
    <row r="349" spans="11:14" x14ac:dyDescent="0.2">
      <c r="K349" s="1"/>
      <c r="L349" s="1"/>
      <c r="M349" s="1"/>
      <c r="N349" s="1"/>
    </row>
    <row r="350" spans="11:14" x14ac:dyDescent="0.2">
      <c r="K350" s="1"/>
      <c r="L350" s="1"/>
      <c r="M350" s="1"/>
      <c r="N350" s="1"/>
    </row>
    <row r="351" spans="11:14" x14ac:dyDescent="0.2">
      <c r="K351" s="1"/>
      <c r="L351" s="1"/>
      <c r="M351" s="1"/>
      <c r="N351" s="1"/>
    </row>
    <row r="352" spans="11:14" x14ac:dyDescent="0.2">
      <c r="K352" s="1"/>
      <c r="L352" s="1"/>
      <c r="M352" s="1"/>
      <c r="N352" s="1"/>
    </row>
    <row r="353" spans="11:14" x14ac:dyDescent="0.2">
      <c r="K353" s="1"/>
      <c r="L353" s="1"/>
      <c r="M353" s="1"/>
      <c r="N353" s="1"/>
    </row>
    <row r="354" spans="11:14" x14ac:dyDescent="0.2">
      <c r="K354" s="1"/>
      <c r="L354" s="1"/>
      <c r="M354" s="1"/>
      <c r="N354" s="1"/>
    </row>
    <row r="355" spans="11:14" x14ac:dyDescent="0.2">
      <c r="K355" s="1"/>
      <c r="L355" s="1"/>
      <c r="M355" s="1"/>
      <c r="N355" s="1"/>
    </row>
    <row r="356" spans="11:14" x14ac:dyDescent="0.2">
      <c r="K356" s="1"/>
      <c r="L356" s="1"/>
      <c r="M356" s="1"/>
      <c r="N356" s="1"/>
    </row>
    <row r="357" spans="11:14" x14ac:dyDescent="0.2">
      <c r="K357" s="1"/>
      <c r="L357" s="1"/>
      <c r="M357" s="1"/>
      <c r="N357" s="1"/>
    </row>
    <row r="358" spans="11:14" x14ac:dyDescent="0.2">
      <c r="K358" s="1"/>
      <c r="L358" s="1"/>
      <c r="M358" s="1"/>
      <c r="N358" s="1"/>
    </row>
    <row r="359" spans="11:14" x14ac:dyDescent="0.2">
      <c r="K359" s="1"/>
      <c r="L359" s="1"/>
      <c r="M359" s="1"/>
      <c r="N359" s="1"/>
    </row>
    <row r="360" spans="11:14" x14ac:dyDescent="0.2">
      <c r="K360" s="1"/>
      <c r="L360" s="1"/>
      <c r="M360" s="1"/>
      <c r="N360" s="1"/>
    </row>
    <row r="361" spans="11:14" x14ac:dyDescent="0.2">
      <c r="K361" s="1"/>
      <c r="L361" s="1"/>
      <c r="M361" s="1"/>
      <c r="N361" s="1"/>
    </row>
    <row r="362" spans="11:14" x14ac:dyDescent="0.2">
      <c r="K362" s="1"/>
      <c r="L362" s="1"/>
      <c r="M362" s="1"/>
      <c r="N362" s="1"/>
    </row>
    <row r="363" spans="11:14" x14ac:dyDescent="0.2">
      <c r="K363" s="1"/>
      <c r="L363" s="1"/>
      <c r="M363" s="1"/>
      <c r="N363" s="1"/>
    </row>
    <row r="364" spans="11:14" x14ac:dyDescent="0.2">
      <c r="K364" s="1"/>
      <c r="L364" s="1"/>
      <c r="M364" s="1"/>
      <c r="N364" s="1"/>
    </row>
    <row r="365" spans="11:14" x14ac:dyDescent="0.2">
      <c r="K365" s="1"/>
      <c r="L365" s="1"/>
      <c r="M365" s="1"/>
      <c r="N365" s="1"/>
    </row>
    <row r="366" spans="11:14" x14ac:dyDescent="0.2">
      <c r="K366" s="1"/>
      <c r="L366" s="1"/>
      <c r="M366" s="1"/>
      <c r="N366" s="1"/>
    </row>
    <row r="367" spans="11:14" x14ac:dyDescent="0.2">
      <c r="K367" s="1"/>
      <c r="L367" s="1"/>
      <c r="M367" s="1"/>
      <c r="N367" s="1"/>
    </row>
    <row r="368" spans="11:14" x14ac:dyDescent="0.2">
      <c r="K368" s="1"/>
      <c r="L368" s="1"/>
      <c r="M368" s="1"/>
      <c r="N368" s="1"/>
    </row>
    <row r="369" spans="11:14" x14ac:dyDescent="0.2">
      <c r="K369" s="1"/>
      <c r="L369" s="1"/>
      <c r="M369" s="1"/>
      <c r="N369" s="1"/>
    </row>
    <row r="370" spans="11:14" x14ac:dyDescent="0.2">
      <c r="K370" s="1"/>
      <c r="L370" s="1"/>
      <c r="M370" s="1"/>
      <c r="N370" s="1"/>
    </row>
    <row r="371" spans="11:14" x14ac:dyDescent="0.2">
      <c r="K371" s="1"/>
      <c r="L371" s="1"/>
      <c r="M371" s="1"/>
      <c r="N371" s="1"/>
    </row>
    <row r="372" spans="11:14" x14ac:dyDescent="0.2">
      <c r="K372" s="1"/>
      <c r="L372" s="1"/>
      <c r="M372" s="1"/>
      <c r="N372" s="1"/>
    </row>
    <row r="373" spans="11:14" x14ac:dyDescent="0.2">
      <c r="K373" s="1"/>
      <c r="L373" s="1"/>
      <c r="M373" s="1"/>
      <c r="N373" s="1"/>
    </row>
    <row r="374" spans="11:14" x14ac:dyDescent="0.2">
      <c r="K374" s="1"/>
      <c r="L374" s="1"/>
      <c r="M374" s="1"/>
      <c r="N374" s="1"/>
    </row>
    <row r="375" spans="11:14" x14ac:dyDescent="0.2">
      <c r="K375" s="1"/>
      <c r="L375" s="1"/>
      <c r="M375" s="1"/>
      <c r="N375" s="1"/>
    </row>
    <row r="376" spans="11:14" x14ac:dyDescent="0.2">
      <c r="K376" s="1"/>
      <c r="L376" s="1"/>
      <c r="M376" s="1"/>
      <c r="N376" s="1"/>
    </row>
    <row r="377" spans="11:14" x14ac:dyDescent="0.2">
      <c r="K377" s="1"/>
      <c r="L377" s="1"/>
      <c r="M377" s="1"/>
      <c r="N377" s="1"/>
    </row>
    <row r="378" spans="11:14" x14ac:dyDescent="0.2">
      <c r="K378" s="1"/>
      <c r="L378" s="1"/>
      <c r="M378" s="1"/>
      <c r="N378" s="1"/>
    </row>
    <row r="379" spans="11:14" x14ac:dyDescent="0.2">
      <c r="K379" s="1"/>
      <c r="L379" s="1"/>
      <c r="M379" s="1"/>
      <c r="N379" s="1"/>
    </row>
    <row r="380" spans="11:14" x14ac:dyDescent="0.2">
      <c r="K380" s="1"/>
      <c r="L380" s="1"/>
      <c r="M380" s="1"/>
      <c r="N380" s="1"/>
    </row>
    <row r="381" spans="11:14" x14ac:dyDescent="0.2">
      <c r="K381" s="1"/>
      <c r="L381" s="1"/>
      <c r="M381" s="1"/>
      <c r="N381" s="1"/>
    </row>
    <row r="382" spans="11:14" x14ac:dyDescent="0.2">
      <c r="K382" s="1"/>
      <c r="L382" s="1"/>
      <c r="M382" s="1"/>
      <c r="N382" s="1"/>
    </row>
    <row r="383" spans="11:14" x14ac:dyDescent="0.2">
      <c r="K383" s="1"/>
      <c r="L383" s="1"/>
      <c r="M383" s="1"/>
      <c r="N383" s="1"/>
    </row>
    <row r="384" spans="11:14" x14ac:dyDescent="0.2">
      <c r="K384" s="1"/>
      <c r="L384" s="1"/>
      <c r="M384" s="1"/>
      <c r="N384" s="1"/>
    </row>
    <row r="385" spans="11:14" x14ac:dyDescent="0.2">
      <c r="K385" s="1"/>
      <c r="L385" s="1"/>
      <c r="M385" s="1"/>
      <c r="N385" s="1"/>
    </row>
    <row r="386" spans="11:14" x14ac:dyDescent="0.2">
      <c r="K386" s="1"/>
      <c r="L386" s="1"/>
      <c r="M386" s="1"/>
      <c r="N386" s="1"/>
    </row>
    <row r="387" spans="11:14" x14ac:dyDescent="0.2">
      <c r="K387" s="1"/>
      <c r="L387" s="1"/>
      <c r="M387" s="1"/>
      <c r="N387" s="1"/>
    </row>
    <row r="388" spans="11:14" x14ac:dyDescent="0.2">
      <c r="K388" s="1"/>
      <c r="L388" s="1"/>
      <c r="M388" s="1"/>
      <c r="N388" s="1"/>
    </row>
    <row r="389" spans="11:14" x14ac:dyDescent="0.2">
      <c r="K389" s="1"/>
      <c r="L389" s="1"/>
      <c r="M389" s="1"/>
      <c r="N389" s="1"/>
    </row>
    <row r="390" spans="11:14" x14ac:dyDescent="0.2">
      <c r="K390" s="1"/>
      <c r="L390" s="1"/>
      <c r="M390" s="1"/>
      <c r="N390" s="1"/>
    </row>
    <row r="391" spans="11:14" x14ac:dyDescent="0.2">
      <c r="K391" s="1"/>
      <c r="L391" s="1"/>
      <c r="M391" s="1"/>
      <c r="N391" s="1"/>
    </row>
    <row r="392" spans="11:14" x14ac:dyDescent="0.2">
      <c r="K392" s="1"/>
      <c r="L392" s="1"/>
      <c r="M392" s="1"/>
      <c r="N392" s="1"/>
    </row>
    <row r="393" spans="11:14" x14ac:dyDescent="0.2">
      <c r="K393" s="1"/>
      <c r="L393" s="1"/>
      <c r="M393" s="1"/>
      <c r="N393" s="1"/>
    </row>
    <row r="394" spans="11:14" x14ac:dyDescent="0.2">
      <c r="K394" s="1"/>
      <c r="L394" s="1"/>
      <c r="M394" s="1"/>
      <c r="N394" s="1"/>
    </row>
    <row r="395" spans="11:14" x14ac:dyDescent="0.2">
      <c r="K395" s="1"/>
      <c r="L395" s="1"/>
      <c r="M395" s="1"/>
      <c r="N395" s="1"/>
    </row>
    <row r="396" spans="11:14" x14ac:dyDescent="0.2">
      <c r="K396" s="1"/>
      <c r="L396" s="1"/>
      <c r="M396" s="1"/>
      <c r="N396" s="1"/>
    </row>
    <row r="397" spans="11:14" x14ac:dyDescent="0.2">
      <c r="K397" s="1"/>
      <c r="L397" s="1"/>
      <c r="M397" s="1"/>
      <c r="N397" s="1"/>
    </row>
    <row r="398" spans="11:14" x14ac:dyDescent="0.2">
      <c r="K398" s="1"/>
      <c r="L398" s="1"/>
      <c r="M398" s="1"/>
      <c r="N398" s="1"/>
    </row>
    <row r="399" spans="11:14" x14ac:dyDescent="0.2">
      <c r="K399" s="1"/>
      <c r="L399" s="1"/>
      <c r="M399" s="1"/>
      <c r="N399" s="1"/>
    </row>
    <row r="400" spans="11:14" x14ac:dyDescent="0.2">
      <c r="K400" s="1"/>
      <c r="L400" s="1"/>
      <c r="M400" s="1"/>
      <c r="N400" s="1"/>
    </row>
    <row r="401" spans="11:14" x14ac:dyDescent="0.2">
      <c r="K401" s="1"/>
      <c r="L401" s="1"/>
      <c r="M401" s="1"/>
      <c r="N401" s="1"/>
    </row>
    <row r="402" spans="11:14" x14ac:dyDescent="0.2">
      <c r="K402" s="1"/>
      <c r="L402" s="1"/>
      <c r="M402" s="1"/>
      <c r="N402" s="1"/>
    </row>
    <row r="403" spans="11:14" x14ac:dyDescent="0.2">
      <c r="K403" s="1"/>
      <c r="L403" s="1"/>
      <c r="M403" s="1"/>
      <c r="N403" s="1"/>
    </row>
    <row r="404" spans="11:14" x14ac:dyDescent="0.2">
      <c r="K404" s="1"/>
      <c r="L404" s="1"/>
      <c r="M404" s="1"/>
      <c r="N404" s="1"/>
    </row>
    <row r="405" spans="11:14" x14ac:dyDescent="0.2">
      <c r="K405" s="1"/>
      <c r="L405" s="1"/>
      <c r="M405" s="1"/>
      <c r="N405" s="1"/>
    </row>
    <row r="406" spans="11:14" x14ac:dyDescent="0.2">
      <c r="K406" s="1"/>
      <c r="L406" s="1"/>
      <c r="M406" s="1"/>
      <c r="N406" s="1"/>
    </row>
    <row r="407" spans="11:14" x14ac:dyDescent="0.2">
      <c r="K407" s="1"/>
      <c r="L407" s="1"/>
      <c r="M407" s="1"/>
      <c r="N407" s="1"/>
    </row>
    <row r="408" spans="11:14" x14ac:dyDescent="0.2">
      <c r="K408" s="1"/>
      <c r="L408" s="1"/>
      <c r="M408" s="1"/>
      <c r="N408" s="1"/>
    </row>
    <row r="409" spans="11:14" x14ac:dyDescent="0.2">
      <c r="K409" s="1"/>
      <c r="L409" s="1"/>
      <c r="M409" s="1"/>
      <c r="N409" s="1"/>
    </row>
    <row r="410" spans="11:14" x14ac:dyDescent="0.2">
      <c r="K410" s="1"/>
      <c r="L410" s="1"/>
      <c r="M410" s="1"/>
      <c r="N410" s="1"/>
    </row>
    <row r="411" spans="11:14" x14ac:dyDescent="0.2">
      <c r="K411" s="1"/>
      <c r="L411" s="1"/>
      <c r="M411" s="1"/>
      <c r="N411" s="1"/>
    </row>
    <row r="412" spans="11:14" x14ac:dyDescent="0.2">
      <c r="K412" s="1"/>
      <c r="L412" s="1"/>
      <c r="M412" s="1"/>
      <c r="N412" s="1"/>
    </row>
    <row r="413" spans="11:14" x14ac:dyDescent="0.2">
      <c r="K413" s="1"/>
      <c r="L413" s="1"/>
      <c r="M413" s="1"/>
      <c r="N413" s="1"/>
    </row>
    <row r="414" spans="11:14" x14ac:dyDescent="0.2">
      <c r="K414" s="1"/>
      <c r="L414" s="1"/>
      <c r="M414" s="1"/>
      <c r="N414" s="1"/>
    </row>
    <row r="415" spans="11:14" x14ac:dyDescent="0.2">
      <c r="K415" s="1"/>
      <c r="L415" s="1"/>
      <c r="M415" s="1"/>
      <c r="N415" s="1"/>
    </row>
    <row r="416" spans="11:14" x14ac:dyDescent="0.2">
      <c r="K416" s="1"/>
      <c r="L416" s="1"/>
      <c r="M416" s="1"/>
      <c r="N416" s="1"/>
    </row>
    <row r="417" spans="11:14" x14ac:dyDescent="0.2">
      <c r="K417" s="1"/>
      <c r="L417" s="1"/>
      <c r="M417" s="1"/>
      <c r="N417" s="1"/>
    </row>
    <row r="418" spans="11:14" x14ac:dyDescent="0.2">
      <c r="K418" s="1"/>
      <c r="L418" s="1"/>
      <c r="M418" s="1"/>
      <c r="N418" s="1"/>
    </row>
    <row r="419" spans="11:14" x14ac:dyDescent="0.2">
      <c r="K419" s="1"/>
      <c r="L419" s="1"/>
      <c r="M419" s="1"/>
      <c r="N419" s="1"/>
    </row>
    <row r="420" spans="11:14" x14ac:dyDescent="0.2">
      <c r="K420" s="1"/>
      <c r="L420" s="1"/>
      <c r="M420" s="1"/>
      <c r="N420" s="1"/>
    </row>
    <row r="421" spans="11:14" x14ac:dyDescent="0.2">
      <c r="K421" s="1"/>
      <c r="L421" s="1"/>
      <c r="M421" s="1"/>
      <c r="N421" s="1"/>
    </row>
    <row r="422" spans="11:14" x14ac:dyDescent="0.2">
      <c r="K422" s="1"/>
      <c r="L422" s="1"/>
      <c r="M422" s="1"/>
      <c r="N422" s="1"/>
    </row>
    <row r="423" spans="11:14" x14ac:dyDescent="0.2">
      <c r="K423" s="1"/>
      <c r="L423" s="1"/>
      <c r="M423" s="1"/>
      <c r="N423" s="1"/>
    </row>
    <row r="424" spans="11:14" x14ac:dyDescent="0.2">
      <c r="K424" s="1"/>
      <c r="L424" s="1"/>
      <c r="M424" s="1"/>
      <c r="N424" s="1"/>
    </row>
    <row r="425" spans="11:14" x14ac:dyDescent="0.2">
      <c r="K425" s="1"/>
      <c r="L425" s="1"/>
      <c r="M425" s="1"/>
      <c r="N425" s="1"/>
    </row>
    <row r="426" spans="11:14" x14ac:dyDescent="0.2">
      <c r="K426" s="1"/>
      <c r="L426" s="1"/>
      <c r="M426" s="1"/>
      <c r="N426" s="1"/>
    </row>
    <row r="427" spans="11:14" x14ac:dyDescent="0.2">
      <c r="K427" s="1"/>
      <c r="L427" s="1"/>
      <c r="M427" s="1"/>
      <c r="N427" s="1"/>
    </row>
    <row r="428" spans="11:14" x14ac:dyDescent="0.2">
      <c r="K428" s="1"/>
      <c r="L428" s="1"/>
      <c r="M428" s="1"/>
      <c r="N428" s="1"/>
    </row>
    <row r="429" spans="11:14" x14ac:dyDescent="0.2">
      <c r="K429" s="1"/>
      <c r="L429" s="1"/>
      <c r="M429" s="1"/>
      <c r="N429" s="1"/>
    </row>
    <row r="430" spans="11:14" x14ac:dyDescent="0.2">
      <c r="K430" s="1"/>
      <c r="L430" s="1"/>
      <c r="M430" s="1"/>
      <c r="N430" s="1"/>
    </row>
    <row r="431" spans="11:14" x14ac:dyDescent="0.2">
      <c r="K431" s="1"/>
      <c r="L431" s="1"/>
      <c r="M431" s="1"/>
      <c r="N431" s="1"/>
    </row>
    <row r="432" spans="11:14" x14ac:dyDescent="0.2">
      <c r="K432" s="1"/>
      <c r="L432" s="1"/>
      <c r="M432" s="1"/>
      <c r="N432" s="1"/>
    </row>
    <row r="433" spans="11:14" x14ac:dyDescent="0.2">
      <c r="K433" s="1"/>
      <c r="L433" s="1"/>
      <c r="M433" s="1"/>
      <c r="N433" s="1"/>
    </row>
    <row r="434" spans="11:14" x14ac:dyDescent="0.2">
      <c r="K434" s="1"/>
      <c r="L434" s="1"/>
      <c r="M434" s="1"/>
      <c r="N434" s="1"/>
    </row>
    <row r="435" spans="11:14" x14ac:dyDescent="0.2">
      <c r="K435" s="1"/>
      <c r="L435" s="1"/>
      <c r="M435" s="1"/>
      <c r="N435" s="1"/>
    </row>
    <row r="436" spans="11:14" x14ac:dyDescent="0.2">
      <c r="K436" s="1"/>
      <c r="L436" s="1"/>
      <c r="M436" s="1"/>
      <c r="N436" s="1"/>
    </row>
    <row r="437" spans="11:14" x14ac:dyDescent="0.2">
      <c r="K437" s="1"/>
      <c r="L437" s="1"/>
      <c r="M437" s="1"/>
      <c r="N437" s="1"/>
    </row>
    <row r="438" spans="11:14" x14ac:dyDescent="0.2">
      <c r="K438" s="1"/>
      <c r="L438" s="1"/>
      <c r="M438" s="1"/>
      <c r="N438" s="1"/>
    </row>
    <row r="439" spans="11:14" x14ac:dyDescent="0.2">
      <c r="K439" s="1"/>
      <c r="L439" s="1"/>
      <c r="M439" s="1"/>
      <c r="N439" s="1"/>
    </row>
    <row r="440" spans="11:14" x14ac:dyDescent="0.2">
      <c r="K440" s="1"/>
      <c r="L440" s="1"/>
      <c r="M440" s="1"/>
      <c r="N440" s="1"/>
    </row>
    <row r="441" spans="11:14" x14ac:dyDescent="0.2">
      <c r="K441" s="1"/>
      <c r="L441" s="1"/>
      <c r="M441" s="1"/>
      <c r="N441" s="1"/>
    </row>
    <row r="442" spans="11:14" x14ac:dyDescent="0.2">
      <c r="K442" s="1"/>
      <c r="L442" s="1"/>
      <c r="M442" s="1"/>
      <c r="N442" s="1"/>
    </row>
    <row r="443" spans="11:14" x14ac:dyDescent="0.2">
      <c r="K443" s="1"/>
      <c r="L443" s="1"/>
      <c r="M443" s="1"/>
      <c r="N443" s="1"/>
    </row>
    <row r="444" spans="11:14" x14ac:dyDescent="0.2">
      <c r="K444" s="1"/>
      <c r="L444" s="1"/>
      <c r="M444" s="1"/>
      <c r="N444" s="1"/>
    </row>
    <row r="445" spans="11:14" x14ac:dyDescent="0.2">
      <c r="K445" s="1"/>
      <c r="L445" s="1"/>
      <c r="M445" s="1"/>
      <c r="N445" s="1"/>
    </row>
    <row r="446" spans="11:14" x14ac:dyDescent="0.2">
      <c r="K446" s="1"/>
      <c r="L446" s="1"/>
      <c r="M446" s="1"/>
      <c r="N446" s="1"/>
    </row>
    <row r="447" spans="11:14" x14ac:dyDescent="0.2">
      <c r="K447" s="1"/>
      <c r="L447" s="1"/>
      <c r="M447" s="1"/>
      <c r="N447" s="1"/>
    </row>
    <row r="448" spans="11:14" x14ac:dyDescent="0.2">
      <c r="K448" s="1"/>
      <c r="L448" s="1"/>
      <c r="M448" s="1"/>
      <c r="N448" s="1"/>
    </row>
    <row r="449" spans="11:14" x14ac:dyDescent="0.2">
      <c r="K449" s="1"/>
      <c r="L449" s="1"/>
      <c r="M449" s="1"/>
      <c r="N449" s="1"/>
    </row>
    <row r="450" spans="11:14" x14ac:dyDescent="0.2">
      <c r="K450" s="1"/>
      <c r="L450" s="1"/>
      <c r="M450" s="1"/>
      <c r="N450" s="1"/>
    </row>
    <row r="451" spans="11:14" x14ac:dyDescent="0.2">
      <c r="K451" s="1"/>
      <c r="L451" s="1"/>
      <c r="M451" s="1"/>
      <c r="N451" s="1"/>
    </row>
    <row r="452" spans="11:14" x14ac:dyDescent="0.2">
      <c r="K452" s="1"/>
      <c r="L452" s="1"/>
      <c r="M452" s="1"/>
      <c r="N452" s="1"/>
    </row>
    <row r="453" spans="11:14" x14ac:dyDescent="0.2">
      <c r="K453" s="1"/>
      <c r="L453" s="1"/>
      <c r="M453" s="1"/>
      <c r="N453" s="1"/>
    </row>
    <row r="454" spans="11:14" x14ac:dyDescent="0.2">
      <c r="K454" s="1"/>
      <c r="L454" s="1"/>
      <c r="M454" s="1"/>
      <c r="N454" s="1"/>
    </row>
    <row r="455" spans="11:14" x14ac:dyDescent="0.2">
      <c r="K455" s="1"/>
      <c r="L455" s="1"/>
      <c r="M455" s="1"/>
      <c r="N455" s="1"/>
    </row>
    <row r="456" spans="11:14" x14ac:dyDescent="0.2">
      <c r="K456" s="1"/>
      <c r="L456" s="1"/>
      <c r="M456" s="1"/>
      <c r="N456" s="1"/>
    </row>
    <row r="457" spans="11:14" x14ac:dyDescent="0.2">
      <c r="K457" s="1"/>
      <c r="L457" s="1"/>
      <c r="M457" s="1"/>
      <c r="N457" s="1"/>
    </row>
    <row r="458" spans="11:14" x14ac:dyDescent="0.2">
      <c r="K458" s="1"/>
      <c r="L458" s="1"/>
      <c r="M458" s="1"/>
      <c r="N458" s="1"/>
    </row>
    <row r="459" spans="11:14" x14ac:dyDescent="0.2">
      <c r="K459" s="1"/>
      <c r="L459" s="1"/>
      <c r="M459" s="1"/>
      <c r="N459" s="1"/>
    </row>
    <row r="460" spans="11:14" x14ac:dyDescent="0.2">
      <c r="K460" s="1"/>
      <c r="L460" s="1"/>
      <c r="M460" s="1"/>
      <c r="N460" s="1"/>
    </row>
    <row r="461" spans="11:14" x14ac:dyDescent="0.2">
      <c r="K461" s="1"/>
      <c r="L461" s="1"/>
      <c r="M461" s="1"/>
      <c r="N461" s="1"/>
    </row>
    <row r="462" spans="11:14" x14ac:dyDescent="0.2">
      <c r="K462" s="1"/>
      <c r="L462" s="1"/>
      <c r="M462" s="1"/>
      <c r="N462" s="1"/>
    </row>
    <row r="463" spans="11:14" x14ac:dyDescent="0.2">
      <c r="K463" s="1"/>
      <c r="L463" s="1"/>
      <c r="M463" s="1"/>
      <c r="N463" s="1"/>
    </row>
    <row r="464" spans="11:14" x14ac:dyDescent="0.2">
      <c r="K464" s="1"/>
      <c r="L464" s="1"/>
      <c r="M464" s="1"/>
      <c r="N464" s="1"/>
    </row>
    <row r="465" spans="11:14" x14ac:dyDescent="0.2">
      <c r="K465" s="1"/>
      <c r="L465" s="1"/>
      <c r="M465" s="1"/>
      <c r="N465" s="1"/>
    </row>
    <row r="466" spans="11:14" x14ac:dyDescent="0.2">
      <c r="K466" s="1"/>
      <c r="L466" s="1"/>
      <c r="M466" s="1"/>
      <c r="N466" s="1"/>
    </row>
    <row r="467" spans="11:14" x14ac:dyDescent="0.2">
      <c r="K467" s="1"/>
      <c r="L467" s="1"/>
      <c r="M467" s="1"/>
      <c r="N467" s="1"/>
    </row>
    <row r="468" spans="11:14" x14ac:dyDescent="0.2">
      <c r="K468" s="1"/>
      <c r="L468" s="1"/>
      <c r="M468" s="1"/>
      <c r="N468" s="1"/>
    </row>
    <row r="469" spans="11:14" x14ac:dyDescent="0.2">
      <c r="K469" s="1"/>
      <c r="L469" s="1"/>
      <c r="M469" s="1"/>
      <c r="N469" s="1"/>
    </row>
    <row r="470" spans="11:14" x14ac:dyDescent="0.2">
      <c r="K470" s="1"/>
      <c r="L470" s="1"/>
      <c r="M470" s="1"/>
      <c r="N470" s="1"/>
    </row>
    <row r="471" spans="11:14" x14ac:dyDescent="0.2">
      <c r="K471" s="1"/>
      <c r="L471" s="1"/>
      <c r="M471" s="1"/>
      <c r="N471" s="1"/>
    </row>
    <row r="472" spans="11:14" x14ac:dyDescent="0.2">
      <c r="K472" s="1"/>
      <c r="L472" s="1"/>
      <c r="M472" s="1"/>
      <c r="N472" s="1"/>
    </row>
    <row r="473" spans="11:14" x14ac:dyDescent="0.2">
      <c r="K473" s="1"/>
      <c r="L473" s="1"/>
      <c r="M473" s="1"/>
      <c r="N473" s="1"/>
    </row>
    <row r="474" spans="11:14" x14ac:dyDescent="0.2">
      <c r="K474" s="1"/>
      <c r="L474" s="1"/>
      <c r="M474" s="1"/>
      <c r="N474" s="1"/>
    </row>
    <row r="475" spans="11:14" x14ac:dyDescent="0.2">
      <c r="K475" s="1"/>
      <c r="L475" s="1"/>
      <c r="M475" s="1"/>
      <c r="N475" s="1"/>
    </row>
    <row r="476" spans="11:14" x14ac:dyDescent="0.2">
      <c r="K476" s="1"/>
      <c r="L476" s="1"/>
      <c r="M476" s="1"/>
      <c r="N476" s="1"/>
    </row>
    <row r="477" spans="11:14" x14ac:dyDescent="0.2">
      <c r="K477" s="1"/>
      <c r="L477" s="1"/>
      <c r="M477" s="1"/>
      <c r="N477" s="1"/>
    </row>
    <row r="478" spans="11:14" x14ac:dyDescent="0.2">
      <c r="K478" s="1"/>
      <c r="L478" s="1"/>
      <c r="M478" s="1"/>
      <c r="N478" s="1"/>
    </row>
    <row r="479" spans="11:14" x14ac:dyDescent="0.2">
      <c r="K479" s="1"/>
      <c r="L479" s="1"/>
      <c r="M479" s="1"/>
      <c r="N479" s="1"/>
    </row>
    <row r="480" spans="11:14" x14ac:dyDescent="0.2">
      <c r="K480" s="1"/>
      <c r="L480" s="1"/>
      <c r="M480" s="1"/>
      <c r="N480" s="1"/>
    </row>
    <row r="481" spans="11:14" x14ac:dyDescent="0.2">
      <c r="K481" s="1"/>
      <c r="L481" s="1"/>
      <c r="M481" s="1"/>
      <c r="N481" s="1"/>
    </row>
    <row r="482" spans="11:14" x14ac:dyDescent="0.2">
      <c r="K482" s="1"/>
      <c r="L482" s="1"/>
      <c r="M482" s="1"/>
      <c r="N482" s="1"/>
    </row>
    <row r="483" spans="11:14" x14ac:dyDescent="0.2">
      <c r="K483" s="1"/>
      <c r="L483" s="1"/>
      <c r="M483" s="1"/>
      <c r="N483" s="1"/>
    </row>
    <row r="484" spans="11:14" x14ac:dyDescent="0.2">
      <c r="K484" s="1"/>
      <c r="L484" s="1"/>
      <c r="M484" s="1"/>
      <c r="N484" s="1"/>
    </row>
    <row r="485" spans="11:14" x14ac:dyDescent="0.2">
      <c r="K485" s="1"/>
      <c r="L485" s="1"/>
      <c r="M485" s="1"/>
      <c r="N485" s="1"/>
    </row>
    <row r="486" spans="11:14" x14ac:dyDescent="0.2">
      <c r="K486" s="1"/>
      <c r="L486" s="1"/>
      <c r="M486" s="1"/>
      <c r="N486" s="1"/>
    </row>
    <row r="487" spans="11:14" x14ac:dyDescent="0.2">
      <c r="K487" s="1"/>
      <c r="L487" s="1"/>
      <c r="M487" s="1"/>
      <c r="N487" s="1"/>
    </row>
    <row r="488" spans="11:14" x14ac:dyDescent="0.2">
      <c r="K488" s="1"/>
      <c r="L488" s="1"/>
      <c r="M488" s="1"/>
      <c r="N488" s="1"/>
    </row>
    <row r="489" spans="11:14" x14ac:dyDescent="0.2">
      <c r="K489" s="1"/>
      <c r="L489" s="1"/>
      <c r="M489" s="1"/>
      <c r="N489" s="1"/>
    </row>
    <row r="490" spans="11:14" x14ac:dyDescent="0.2">
      <c r="K490" s="1"/>
      <c r="L490" s="1"/>
      <c r="M490" s="1"/>
      <c r="N490" s="1"/>
    </row>
    <row r="491" spans="11:14" x14ac:dyDescent="0.2">
      <c r="K491" s="1"/>
      <c r="L491" s="1"/>
      <c r="M491" s="1"/>
      <c r="N491" s="1"/>
    </row>
    <row r="492" spans="11:14" x14ac:dyDescent="0.2">
      <c r="K492" s="1"/>
      <c r="L492" s="1"/>
      <c r="M492" s="1"/>
      <c r="N492" s="1"/>
    </row>
    <row r="493" spans="11:14" x14ac:dyDescent="0.2">
      <c r="K493" s="1"/>
      <c r="L493" s="1"/>
      <c r="M493" s="1"/>
      <c r="N493" s="1"/>
    </row>
    <row r="494" spans="11:14" x14ac:dyDescent="0.2">
      <c r="K494" s="1"/>
      <c r="L494" s="1"/>
      <c r="M494" s="1"/>
      <c r="N494" s="1"/>
    </row>
    <row r="495" spans="11:14" x14ac:dyDescent="0.2">
      <c r="K495" s="1"/>
      <c r="L495" s="1"/>
      <c r="M495" s="1"/>
      <c r="N495" s="1"/>
    </row>
    <row r="496" spans="11:14" x14ac:dyDescent="0.2">
      <c r="K496" s="1"/>
      <c r="L496" s="1"/>
      <c r="M496" s="1"/>
      <c r="N496" s="1"/>
    </row>
    <row r="497" spans="11:14" x14ac:dyDescent="0.2">
      <c r="K497" s="1"/>
      <c r="L497" s="1"/>
      <c r="M497" s="1"/>
      <c r="N497" s="1"/>
    </row>
    <row r="498" spans="11:14" x14ac:dyDescent="0.2">
      <c r="K498" s="1"/>
      <c r="L498" s="1"/>
      <c r="M498" s="1"/>
      <c r="N498" s="1"/>
    </row>
    <row r="499" spans="11:14" x14ac:dyDescent="0.2">
      <c r="K499" s="1"/>
      <c r="L499" s="1"/>
      <c r="M499" s="1"/>
      <c r="N499" s="1"/>
    </row>
    <row r="500" spans="11:14" x14ac:dyDescent="0.2">
      <c r="K500" s="1"/>
      <c r="L500" s="1"/>
      <c r="M500" s="1"/>
      <c r="N500" s="1"/>
    </row>
  </sheetData>
  <sheetProtection algorithmName="SHA-512" hashValue="TSrtR0enAZ3O2pv9wRzw+KwSdauLl0ggh5I7zQ1NVPHvljOLF6xgPpRl0mljmKsZDJvVldqcKyxRZBhq2sQLhg==" saltValue="R/ItuodlUz1bJ5eavC/RKg==" spinCount="100000" sheet="1" objects="1" scenario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0" id="{375B872D-C68E-4877-948D-5CA49E1CC57D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D33</xm:sqref>
        </x14:conditionalFormatting>
        <x14:conditionalFormatting xmlns:xm="http://schemas.microsoft.com/office/excel/2006/main">
          <x14:cfRule type="iconSet" priority="1" id="{286F029A-4870-41A4-B0C5-9E60BACFA5D4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D35</xm:sqref>
        </x14:conditionalFormatting>
        <x14:conditionalFormatting xmlns:xm="http://schemas.microsoft.com/office/excel/2006/main">
          <x14:cfRule type="iconSet" priority="9" id="{0DEE2F78-B77F-41D5-9700-86881B065BB7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D37</xm:sqref>
        </x14:conditionalFormatting>
        <x14:conditionalFormatting xmlns:xm="http://schemas.microsoft.com/office/excel/2006/main">
          <x14:cfRule type="iconSet" priority="8" id="{28D0CEC1-78FF-49EA-A8F2-8742DAA778E5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D39</xm:sqref>
        </x14:conditionalFormatting>
        <x14:conditionalFormatting xmlns:xm="http://schemas.microsoft.com/office/excel/2006/main">
          <x14:cfRule type="iconSet" priority="7" id="{9665AC29-A366-4A17-8666-68C85871B711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D41</xm:sqref>
        </x14:conditionalFormatting>
        <x14:conditionalFormatting xmlns:xm="http://schemas.microsoft.com/office/excel/2006/main">
          <x14:cfRule type="iconSet" priority="6" id="{38B03734-6884-4A2C-8558-2A74F243C20A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D43</xm:sqref>
        </x14:conditionalFormatting>
        <x14:conditionalFormatting xmlns:xm="http://schemas.microsoft.com/office/excel/2006/main">
          <x14:cfRule type="iconSet" priority="5" id="{F94553D7-BF84-4D3E-8CC7-989376E32746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D45</xm:sqref>
        </x14:conditionalFormatting>
        <x14:conditionalFormatting xmlns:xm="http://schemas.microsoft.com/office/excel/2006/main">
          <x14:cfRule type="iconSet" priority="4" id="{0A31908A-118A-45F6-B94B-C3EC8D6873FE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D47</xm:sqref>
        </x14:conditionalFormatting>
        <x14:conditionalFormatting xmlns:xm="http://schemas.microsoft.com/office/excel/2006/main">
          <x14:cfRule type="iconSet" priority="3" id="{48C3E625-4E70-43A8-9A8D-C7E5773F19C7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D49</xm:sqref>
        </x14:conditionalFormatting>
        <x14:conditionalFormatting xmlns:xm="http://schemas.microsoft.com/office/excel/2006/main">
          <x14:cfRule type="iconSet" priority="2" id="{252DAEB3-C5FE-46C0-A7C7-F8301C692252}">
            <x14:iconSet showValue="0" custom="1">
              <x14:cfvo type="percent">
                <xm:f>0</xm:f>
              </x14:cfvo>
              <x14:cfvo type="num" gte="0">
                <xm:f>1</xm:f>
              </x14:cfvo>
              <x14:cfvo type="num">
                <xm:f>1</xm:f>
              </x14:cfvo>
              <x14:cfIcon iconSet="3Symbols2" iconId="1"/>
              <x14:cfIcon iconSet="3TrafficLights1" iconId="1"/>
              <x14:cfIcon iconSet="3Symbols2" iconId="2"/>
            </x14:iconSet>
          </x14:cfRule>
          <xm:sqref>D51</xm:sqref>
        </x14:conditionalFormatting>
      </x14:conditionalFormattings>
    </ext>
    <ext xmlns:x14="http://schemas.microsoft.com/office/spreadsheetml/2009/9/main" uri="{A8765BA9-456A-4dab-B4F3-ACF838C121DE}">
      <x14:slicerList>
        <x14:slicer r:id="rId2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5A8AA-0909-495B-9846-86182F4E9AAC}">
  <sheetPr codeName="Planilha3"/>
  <dimension ref="A1:R500"/>
  <sheetViews>
    <sheetView workbookViewId="0">
      <selection activeCell="P41" sqref="P41"/>
    </sheetView>
  </sheetViews>
  <sheetFormatPr baseColWidth="10" defaultColWidth="8.83203125" defaultRowHeight="15" x14ac:dyDescent="0.2"/>
  <cols>
    <col min="1" max="1" width="20.83203125" style="16" bestFit="1" customWidth="1"/>
    <col min="3" max="3" width="12.33203125" bestFit="1" customWidth="1"/>
    <col min="4" max="4" width="16.1640625" bestFit="1" customWidth="1"/>
    <col min="5" max="5" width="13.5" bestFit="1" customWidth="1"/>
  </cols>
  <sheetData>
    <row r="1" spans="1:18" ht="16" x14ac:dyDescent="0.2">
      <c r="A1" s="14" t="str">
        <f>Tabelas!S25</f>
        <v>Relatorio</v>
      </c>
      <c r="B1" s="15"/>
      <c r="C1" s="15"/>
      <c r="D1" s="15"/>
      <c r="E1" s="15"/>
      <c r="F1" s="15"/>
    </row>
    <row r="2" spans="1:18" ht="16" x14ac:dyDescent="0.2">
      <c r="B2" s="17" t="str">
        <f>Tabelas!T26</f>
        <v>Receita</v>
      </c>
      <c r="C2" s="17" t="str">
        <f>Tabelas!U26</f>
        <v>Despesa Fixa</v>
      </c>
      <c r="D2" s="17" t="str">
        <f>Tabelas!V26</f>
        <v>Despesa Variável</v>
      </c>
      <c r="E2" s="17" t="str">
        <f>Tabelas!W26</f>
        <v>Investimentos</v>
      </c>
      <c r="F2" s="17" t="str">
        <f>Tabelas!X26</f>
        <v>Outros</v>
      </c>
    </row>
    <row r="3" spans="1:18" ht="16" x14ac:dyDescent="0.2">
      <c r="A3" s="17" t="str">
        <f>Tabelas!S27</f>
        <v>Jan</v>
      </c>
      <c r="B3" s="18">
        <f>Tabelas!T27</f>
        <v>2000</v>
      </c>
      <c r="C3" s="18">
        <f>Tabelas!U27</f>
        <v>0</v>
      </c>
      <c r="D3" s="18">
        <f>Tabelas!V27</f>
        <v>0</v>
      </c>
      <c r="E3" s="18">
        <f>Tabelas!W27</f>
        <v>0</v>
      </c>
      <c r="F3" s="18">
        <f>Tabelas!X27</f>
        <v>0</v>
      </c>
    </row>
    <row r="4" spans="1:18" ht="16" x14ac:dyDescent="0.2">
      <c r="A4" s="17" t="str">
        <f>Tabelas!S28</f>
        <v>Fev</v>
      </c>
      <c r="B4" s="18">
        <f>Tabelas!T28</f>
        <v>2000</v>
      </c>
      <c r="C4" s="18">
        <f>Tabelas!U28</f>
        <v>0</v>
      </c>
      <c r="D4" s="18">
        <f>Tabelas!V28</f>
        <v>0</v>
      </c>
      <c r="E4" s="18">
        <f>Tabelas!W28</f>
        <v>0</v>
      </c>
      <c r="F4" s="18">
        <f>Tabelas!X28</f>
        <v>0</v>
      </c>
    </row>
    <row r="5" spans="1:18" ht="16" x14ac:dyDescent="0.2">
      <c r="A5" s="17" t="str">
        <f>Tabelas!S29</f>
        <v>Mar</v>
      </c>
      <c r="B5" s="18">
        <f>Tabelas!T29</f>
        <v>2000</v>
      </c>
      <c r="C5" s="18">
        <f>Tabelas!U29</f>
        <v>0</v>
      </c>
      <c r="D5" s="18">
        <f>Tabelas!V29</f>
        <v>0</v>
      </c>
      <c r="E5" s="18">
        <f>Tabelas!W29</f>
        <v>0</v>
      </c>
      <c r="F5" s="18">
        <f>Tabelas!X29</f>
        <v>0</v>
      </c>
    </row>
    <row r="6" spans="1:18" ht="16" x14ac:dyDescent="0.2">
      <c r="A6" s="17" t="str">
        <f>Tabelas!S30</f>
        <v>Abr</v>
      </c>
      <c r="B6" s="128">
        <f>Tabelas!T30</f>
        <v>2000</v>
      </c>
      <c r="C6" s="128">
        <f>Tabelas!U30</f>
        <v>0</v>
      </c>
      <c r="D6" s="18">
        <f>Tabelas!V30</f>
        <v>0</v>
      </c>
      <c r="E6" s="18">
        <f>Tabelas!W30</f>
        <v>0</v>
      </c>
      <c r="F6" s="18">
        <f>Tabelas!X30</f>
        <v>0</v>
      </c>
      <c r="G6" s="34"/>
      <c r="H6" s="34"/>
      <c r="I6" s="34"/>
      <c r="K6" s="34"/>
      <c r="L6" s="34"/>
      <c r="M6" s="34"/>
      <c r="N6" s="34"/>
      <c r="P6" s="34"/>
      <c r="Q6" s="34"/>
      <c r="R6" s="34"/>
    </row>
    <row r="7" spans="1:18" ht="16" x14ac:dyDescent="0.2">
      <c r="A7" s="17" t="str">
        <f>Tabelas!S31</f>
        <v>Mai</v>
      </c>
      <c r="B7" s="128">
        <f>Tabelas!T31</f>
        <v>2000</v>
      </c>
      <c r="C7" s="128">
        <f>Tabelas!U31</f>
        <v>0</v>
      </c>
      <c r="D7" s="18">
        <f>Tabelas!V31</f>
        <v>0</v>
      </c>
      <c r="E7" s="18">
        <f>Tabelas!W31</f>
        <v>0</v>
      </c>
      <c r="F7" s="18">
        <f>Tabelas!X31</f>
        <v>0</v>
      </c>
      <c r="G7" s="34"/>
      <c r="H7" s="34"/>
      <c r="I7" s="34"/>
      <c r="K7" s="34"/>
      <c r="L7" s="34"/>
      <c r="M7" s="34"/>
      <c r="N7" s="34"/>
    </row>
    <row r="8" spans="1:18" ht="16" x14ac:dyDescent="0.2">
      <c r="A8" s="17" t="str">
        <f>Tabelas!S32</f>
        <v>Jun</v>
      </c>
      <c r="B8" s="128">
        <f>Tabelas!T32</f>
        <v>2000</v>
      </c>
      <c r="C8" s="128">
        <f>Tabelas!U32</f>
        <v>0</v>
      </c>
      <c r="D8" s="18">
        <f>Tabelas!V32</f>
        <v>0</v>
      </c>
      <c r="E8" s="18">
        <f>Tabelas!W32</f>
        <v>0</v>
      </c>
      <c r="F8" s="18">
        <f>Tabelas!X32</f>
        <v>0</v>
      </c>
      <c r="G8" s="34"/>
      <c r="H8" s="34"/>
      <c r="I8" s="34"/>
      <c r="K8" s="34"/>
      <c r="L8" s="34"/>
      <c r="M8" s="34"/>
      <c r="N8" s="34"/>
    </row>
    <row r="9" spans="1:18" ht="16" x14ac:dyDescent="0.2">
      <c r="A9" s="17" t="str">
        <f>Tabelas!S33</f>
        <v>Jul</v>
      </c>
      <c r="B9" s="128">
        <f>Tabelas!T33</f>
        <v>2000</v>
      </c>
      <c r="C9" s="128">
        <f>Tabelas!U33</f>
        <v>0</v>
      </c>
      <c r="D9" s="18">
        <f>Tabelas!V33</f>
        <v>0</v>
      </c>
      <c r="E9" s="18">
        <f>Tabelas!W33</f>
        <v>0</v>
      </c>
      <c r="F9" s="18">
        <f>Tabelas!X33</f>
        <v>0</v>
      </c>
      <c r="G9" s="34"/>
      <c r="H9" s="34"/>
      <c r="I9" s="34"/>
      <c r="K9" s="34"/>
      <c r="L9" s="34"/>
      <c r="M9" s="34"/>
      <c r="N9" s="34"/>
    </row>
    <row r="10" spans="1:18" ht="16" x14ac:dyDescent="0.2">
      <c r="A10" s="17" t="str">
        <f>Tabelas!S34</f>
        <v>Ago</v>
      </c>
      <c r="B10" s="128">
        <f>Tabelas!T34</f>
        <v>2000</v>
      </c>
      <c r="C10" s="128">
        <f>Tabelas!U34</f>
        <v>0</v>
      </c>
      <c r="D10" s="18">
        <f>Tabelas!V34</f>
        <v>0</v>
      </c>
      <c r="E10" s="18">
        <f>Tabelas!W34</f>
        <v>0</v>
      </c>
      <c r="F10" s="18">
        <f>Tabelas!X34</f>
        <v>0</v>
      </c>
      <c r="G10" s="34"/>
      <c r="H10" s="34"/>
      <c r="I10" s="34"/>
      <c r="K10" s="34"/>
      <c r="L10" s="34"/>
      <c r="M10" s="34"/>
      <c r="N10" s="34"/>
    </row>
    <row r="11" spans="1:18" ht="16" x14ac:dyDescent="0.2">
      <c r="A11" s="17" t="str">
        <f>Tabelas!S35</f>
        <v>Set</v>
      </c>
      <c r="B11" s="128">
        <f>Tabelas!T35</f>
        <v>2000</v>
      </c>
      <c r="C11" s="128">
        <f>Tabelas!U35</f>
        <v>0</v>
      </c>
      <c r="D11" s="18">
        <f>Tabelas!V35</f>
        <v>0</v>
      </c>
      <c r="E11" s="18">
        <f>Tabelas!W35</f>
        <v>0</v>
      </c>
      <c r="F11" s="18">
        <f>Tabelas!X35</f>
        <v>0</v>
      </c>
      <c r="G11" s="34"/>
      <c r="H11" s="34"/>
      <c r="I11" s="34"/>
      <c r="K11" s="34"/>
      <c r="L11" s="34"/>
      <c r="M11" s="34"/>
      <c r="N11" s="34"/>
    </row>
    <row r="12" spans="1:18" ht="16" x14ac:dyDescent="0.2">
      <c r="A12" s="17" t="str">
        <f>Tabelas!S36</f>
        <v>Out</v>
      </c>
      <c r="B12" s="128">
        <f>Tabelas!T36</f>
        <v>2000</v>
      </c>
      <c r="C12" s="128">
        <f>Tabelas!U36</f>
        <v>0</v>
      </c>
      <c r="D12" s="18">
        <f>Tabelas!V36</f>
        <v>0</v>
      </c>
      <c r="E12" s="18">
        <f>Tabelas!W36</f>
        <v>0</v>
      </c>
      <c r="F12" s="18">
        <f>Tabelas!X36</f>
        <v>0</v>
      </c>
      <c r="G12" s="34"/>
      <c r="H12" s="34"/>
      <c r="I12" s="34"/>
      <c r="K12" s="34"/>
      <c r="L12" s="34"/>
      <c r="M12" s="34"/>
      <c r="N12" s="34"/>
    </row>
    <row r="13" spans="1:18" ht="16" x14ac:dyDescent="0.2">
      <c r="A13" s="17" t="str">
        <f>Tabelas!S37</f>
        <v>Nov</v>
      </c>
      <c r="B13" s="128">
        <f>Tabelas!T37</f>
        <v>2000</v>
      </c>
      <c r="C13" s="128">
        <f>Tabelas!U37</f>
        <v>0</v>
      </c>
      <c r="D13" s="18">
        <f>Tabelas!V37</f>
        <v>0</v>
      </c>
      <c r="E13" s="18">
        <f>Tabelas!W37</f>
        <v>0</v>
      </c>
      <c r="F13" s="18">
        <f>Tabelas!X37</f>
        <v>0</v>
      </c>
      <c r="G13" s="34"/>
      <c r="H13" s="34"/>
      <c r="I13" s="34"/>
      <c r="K13" s="34"/>
      <c r="L13" s="34"/>
      <c r="M13" s="34"/>
      <c r="N13" s="34"/>
    </row>
    <row r="14" spans="1:18" ht="16" x14ac:dyDescent="0.2">
      <c r="A14" s="17" t="str">
        <f>Tabelas!S38</f>
        <v>Dez</v>
      </c>
      <c r="B14" s="128">
        <f>Tabelas!T38</f>
        <v>2000</v>
      </c>
      <c r="C14" s="128">
        <f>Tabelas!U38</f>
        <v>0</v>
      </c>
      <c r="D14" s="18">
        <f>Tabelas!V38</f>
        <v>0</v>
      </c>
      <c r="E14" s="18">
        <f>Tabelas!W38</f>
        <v>0</v>
      </c>
      <c r="F14" s="18">
        <f>Tabelas!X38</f>
        <v>0</v>
      </c>
      <c r="G14" s="34"/>
      <c r="H14" s="34"/>
      <c r="I14" s="34"/>
      <c r="K14" s="34"/>
      <c r="L14" s="34"/>
      <c r="M14" s="34"/>
      <c r="N14" s="34"/>
    </row>
    <row r="15" spans="1:18" x14ac:dyDescent="0.2">
      <c r="B15" s="34"/>
      <c r="C15" s="34"/>
      <c r="G15" s="34"/>
      <c r="H15" s="34"/>
      <c r="I15" s="34"/>
      <c r="K15" s="34"/>
      <c r="L15" s="34"/>
      <c r="M15" s="34"/>
      <c r="N15" s="34"/>
    </row>
    <row r="16" spans="1:18" ht="16" x14ac:dyDescent="0.2">
      <c r="A16" s="14" t="str">
        <f>Tabelas!S40</f>
        <v>Detalhamento Despesas Variáveis</v>
      </c>
      <c r="B16" s="129"/>
      <c r="C16" s="129"/>
      <c r="D16" s="19"/>
      <c r="E16" s="19"/>
      <c r="F16" s="19"/>
      <c r="G16" s="129"/>
      <c r="H16" s="129"/>
      <c r="I16" s="129"/>
      <c r="J16" s="19"/>
      <c r="K16" s="129"/>
      <c r="L16" s="129"/>
      <c r="M16" s="129"/>
      <c r="N16" s="34"/>
    </row>
    <row r="17" spans="1:17" ht="16" x14ac:dyDescent="0.2">
      <c r="B17" s="130" t="str">
        <f>Tabelas!T41</f>
        <v>Jan</v>
      </c>
      <c r="C17" s="130" t="str">
        <f>Tabelas!U41</f>
        <v>Fev</v>
      </c>
      <c r="D17" s="17" t="str">
        <f>Tabelas!V41</f>
        <v>Mar</v>
      </c>
      <c r="E17" s="17" t="str">
        <f>Tabelas!W41</f>
        <v>Abr</v>
      </c>
      <c r="F17" s="17" t="str">
        <f>Tabelas!X41</f>
        <v xml:space="preserve">Mai </v>
      </c>
      <c r="G17" s="130" t="str">
        <f>Tabelas!Y41</f>
        <v>Jun</v>
      </c>
      <c r="H17" s="130" t="str">
        <f>Tabelas!Z41</f>
        <v>Jul</v>
      </c>
      <c r="I17" s="130" t="str">
        <f>Tabelas!AA41</f>
        <v>Ago</v>
      </c>
      <c r="J17" s="17" t="str">
        <f>Tabelas!AB41</f>
        <v>Set</v>
      </c>
      <c r="K17" s="130" t="str">
        <f>Tabelas!AC41</f>
        <v>Out</v>
      </c>
      <c r="L17" s="130" t="str">
        <f>Tabelas!AD41</f>
        <v>Nov</v>
      </c>
      <c r="M17" s="130" t="str">
        <f>Tabelas!AE41</f>
        <v>Dez</v>
      </c>
      <c r="N17" s="34"/>
    </row>
    <row r="18" spans="1:17" ht="16" x14ac:dyDescent="0.2">
      <c r="A18" s="17" t="str">
        <f>Tabelas!S42</f>
        <v>Restaurante</v>
      </c>
      <c r="B18" s="128">
        <f>Tabelas!T42</f>
        <v>0</v>
      </c>
      <c r="C18" s="128">
        <f>Tabelas!U42</f>
        <v>0</v>
      </c>
      <c r="D18" s="18">
        <f>Tabelas!V42</f>
        <v>0</v>
      </c>
      <c r="E18" s="18">
        <f>Tabelas!W42</f>
        <v>0</v>
      </c>
      <c r="F18" s="18">
        <f>Tabelas!X42</f>
        <v>0</v>
      </c>
      <c r="G18" s="128">
        <f>Tabelas!Y42</f>
        <v>0</v>
      </c>
      <c r="H18" s="128">
        <f>Tabelas!Z42</f>
        <v>0</v>
      </c>
      <c r="I18" s="128">
        <f>Tabelas!AA42</f>
        <v>0</v>
      </c>
      <c r="J18" s="18">
        <f>Tabelas!AB42</f>
        <v>0</v>
      </c>
      <c r="K18" s="128">
        <f>Tabelas!AC42</f>
        <v>0</v>
      </c>
      <c r="L18" s="128">
        <f>Tabelas!AD42</f>
        <v>0</v>
      </c>
      <c r="M18" s="128">
        <f>Tabelas!AE42</f>
        <v>0</v>
      </c>
      <c r="N18" s="34"/>
    </row>
    <row r="19" spans="1:17" ht="16" x14ac:dyDescent="0.2">
      <c r="A19" s="17" t="str">
        <f>Tabelas!S43</f>
        <v>Compras parceladas</v>
      </c>
      <c r="B19" s="128">
        <f>Tabelas!T43</f>
        <v>0</v>
      </c>
      <c r="C19" s="128">
        <f>Tabelas!U43</f>
        <v>0</v>
      </c>
      <c r="D19" s="18">
        <f>Tabelas!V43</f>
        <v>0</v>
      </c>
      <c r="E19" s="18">
        <f>Tabelas!W43</f>
        <v>0</v>
      </c>
      <c r="F19" s="18">
        <f>Tabelas!X43</f>
        <v>0</v>
      </c>
      <c r="G19" s="128">
        <f>Tabelas!Y43</f>
        <v>0</v>
      </c>
      <c r="H19" s="128">
        <f>Tabelas!Z43</f>
        <v>0</v>
      </c>
      <c r="I19" s="128">
        <f>Tabelas!AA43</f>
        <v>0</v>
      </c>
      <c r="J19" s="18">
        <f>Tabelas!AB43</f>
        <v>0</v>
      </c>
      <c r="K19" s="128">
        <f>Tabelas!AC43</f>
        <v>0</v>
      </c>
      <c r="L19" s="128">
        <f>Tabelas!AD43</f>
        <v>0</v>
      </c>
      <c r="M19" s="128">
        <f>Tabelas!AE43</f>
        <v>0</v>
      </c>
      <c r="N19" s="34"/>
    </row>
    <row r="20" spans="1:17" ht="16" x14ac:dyDescent="0.2">
      <c r="A20" s="17" t="str">
        <f>Tabelas!S44</f>
        <v>Supermercado</v>
      </c>
      <c r="B20" s="18">
        <f>Tabelas!T44</f>
        <v>0</v>
      </c>
      <c r="C20" s="18">
        <f>Tabelas!U44</f>
        <v>0</v>
      </c>
      <c r="D20" s="18">
        <f>Tabelas!V44</f>
        <v>0</v>
      </c>
      <c r="E20" s="18">
        <f>Tabelas!W44</f>
        <v>0</v>
      </c>
      <c r="F20" s="18">
        <f>Tabelas!X44</f>
        <v>0</v>
      </c>
      <c r="G20" s="128">
        <f>Tabelas!Y44</f>
        <v>0</v>
      </c>
      <c r="H20" s="128">
        <f>Tabelas!Z44</f>
        <v>0</v>
      </c>
      <c r="I20" s="128">
        <f>Tabelas!AA44</f>
        <v>0</v>
      </c>
      <c r="J20" s="18">
        <f>Tabelas!AB44</f>
        <v>0</v>
      </c>
      <c r="K20" s="128">
        <f>Tabelas!AC44</f>
        <v>0</v>
      </c>
      <c r="L20" s="128">
        <f>Tabelas!AD44</f>
        <v>0</v>
      </c>
      <c r="M20" s="128">
        <f>Tabelas!AE44</f>
        <v>0</v>
      </c>
      <c r="N20" s="34"/>
    </row>
    <row r="21" spans="1:17" ht="16" x14ac:dyDescent="0.2">
      <c r="A21" s="17" t="str">
        <f>Tabelas!S45</f>
        <v>Lazer</v>
      </c>
      <c r="B21" s="18">
        <f>Tabelas!T45</f>
        <v>0</v>
      </c>
      <c r="C21" s="18">
        <f>Tabelas!U45</f>
        <v>0</v>
      </c>
      <c r="D21" s="18">
        <f>Tabelas!V45</f>
        <v>0</v>
      </c>
      <c r="E21" s="18">
        <f>Tabelas!W45</f>
        <v>0</v>
      </c>
      <c r="F21" s="18">
        <f>Tabelas!X45</f>
        <v>0</v>
      </c>
      <c r="G21" s="128">
        <f>Tabelas!Y45</f>
        <v>0</v>
      </c>
      <c r="H21" s="128">
        <f>Tabelas!Z45</f>
        <v>0</v>
      </c>
      <c r="I21" s="128">
        <f>Tabelas!AA45</f>
        <v>0</v>
      </c>
      <c r="J21" s="18">
        <f>Tabelas!AB45</f>
        <v>0</v>
      </c>
      <c r="K21" s="128">
        <f>Tabelas!AC45</f>
        <v>0</v>
      </c>
      <c r="L21" s="128">
        <f>Tabelas!AD45</f>
        <v>0</v>
      </c>
      <c r="M21" s="128">
        <f>Tabelas!AE45</f>
        <v>0</v>
      </c>
      <c r="N21" s="34"/>
    </row>
    <row r="22" spans="1:17" ht="16" x14ac:dyDescent="0.2">
      <c r="A22" s="17" t="str">
        <f>Tabelas!S46</f>
        <v>Transporte</v>
      </c>
      <c r="B22" s="18">
        <f>Tabelas!T46</f>
        <v>0</v>
      </c>
      <c r="C22" s="18">
        <f>Tabelas!U46</f>
        <v>0</v>
      </c>
      <c r="D22" s="18">
        <f>Tabelas!V46</f>
        <v>0</v>
      </c>
      <c r="E22" s="18">
        <f>Tabelas!W46</f>
        <v>0</v>
      </c>
      <c r="F22" s="18">
        <f>Tabelas!X46</f>
        <v>0</v>
      </c>
      <c r="G22" s="128">
        <f>Tabelas!Y46</f>
        <v>0</v>
      </c>
      <c r="H22" s="128">
        <f>Tabelas!Z46</f>
        <v>0</v>
      </c>
      <c r="I22" s="128">
        <f>Tabelas!AA46</f>
        <v>0</v>
      </c>
      <c r="J22" s="18">
        <f>Tabelas!AB46</f>
        <v>0</v>
      </c>
      <c r="K22" s="128">
        <f>Tabelas!AC46</f>
        <v>0</v>
      </c>
      <c r="L22" s="128">
        <f>Tabelas!AD46</f>
        <v>0</v>
      </c>
      <c r="M22" s="128">
        <f>Tabelas!AE46</f>
        <v>0</v>
      </c>
      <c r="N22" s="34"/>
    </row>
    <row r="23" spans="1:17" ht="16" x14ac:dyDescent="0.2">
      <c r="A23" s="17" t="str">
        <f>Tabelas!S47</f>
        <v>Vestuário</v>
      </c>
      <c r="B23" s="18">
        <f>Tabelas!T47</f>
        <v>0</v>
      </c>
      <c r="C23" s="18">
        <f>Tabelas!U47</f>
        <v>0</v>
      </c>
      <c r="D23" s="18">
        <f>Tabelas!V47</f>
        <v>0</v>
      </c>
      <c r="E23" s="18">
        <f>Tabelas!W47</f>
        <v>0</v>
      </c>
      <c r="F23" s="18">
        <f>Tabelas!X47</f>
        <v>0</v>
      </c>
      <c r="G23" s="128">
        <f>Tabelas!Y47</f>
        <v>0</v>
      </c>
      <c r="H23" s="128">
        <f>Tabelas!Z47</f>
        <v>0</v>
      </c>
      <c r="I23" s="128">
        <f>Tabelas!AA47</f>
        <v>0</v>
      </c>
      <c r="J23" s="18">
        <f>Tabelas!AB47</f>
        <v>0</v>
      </c>
      <c r="K23" s="128">
        <f>Tabelas!AC47</f>
        <v>0</v>
      </c>
      <c r="L23" s="128">
        <f>Tabelas!AD47</f>
        <v>0</v>
      </c>
      <c r="M23" s="128">
        <f>Tabelas!AE47</f>
        <v>0</v>
      </c>
      <c r="N23" s="34"/>
    </row>
    <row r="24" spans="1:17" ht="16" x14ac:dyDescent="0.2">
      <c r="A24" s="17" t="str">
        <f>Tabelas!S48</f>
        <v>Farmácia</v>
      </c>
      <c r="B24" s="128">
        <f>Tabelas!T48</f>
        <v>0</v>
      </c>
      <c r="C24" s="128">
        <f>Tabelas!U48</f>
        <v>0</v>
      </c>
      <c r="D24" s="18">
        <f>Tabelas!V48</f>
        <v>0</v>
      </c>
      <c r="E24" s="18">
        <f>Tabelas!W48</f>
        <v>0</v>
      </c>
      <c r="F24" s="18">
        <f>Tabelas!X48</f>
        <v>0</v>
      </c>
      <c r="G24" s="128">
        <f>Tabelas!Y48</f>
        <v>0</v>
      </c>
      <c r="H24" s="128">
        <f>Tabelas!Z48</f>
        <v>0</v>
      </c>
      <c r="I24" s="128">
        <f>Tabelas!AA48</f>
        <v>0</v>
      </c>
      <c r="J24" s="18">
        <f>Tabelas!AB48</f>
        <v>0</v>
      </c>
      <c r="K24" s="128">
        <f>Tabelas!AC48</f>
        <v>0</v>
      </c>
      <c r="L24" s="128">
        <f>Tabelas!AD48</f>
        <v>0</v>
      </c>
      <c r="M24" s="128">
        <f>Tabelas!AE48</f>
        <v>0</v>
      </c>
      <c r="N24" s="34"/>
    </row>
    <row r="25" spans="1:17" ht="16" x14ac:dyDescent="0.2">
      <c r="A25" s="17" t="str">
        <f>Tabelas!S49</f>
        <v>Desp Var 8</v>
      </c>
      <c r="B25" s="128">
        <f>Tabelas!T49</f>
        <v>0</v>
      </c>
      <c r="C25" s="128">
        <f>Tabelas!U49</f>
        <v>0</v>
      </c>
      <c r="D25" s="18">
        <f>Tabelas!V49</f>
        <v>0</v>
      </c>
      <c r="E25" s="18">
        <f>Tabelas!W49</f>
        <v>0</v>
      </c>
      <c r="F25" s="18">
        <f>Tabelas!X49</f>
        <v>0</v>
      </c>
      <c r="G25" s="128">
        <f>Tabelas!Y49</f>
        <v>0</v>
      </c>
      <c r="H25" s="128">
        <f>Tabelas!Z49</f>
        <v>0</v>
      </c>
      <c r="I25" s="128">
        <f>Tabelas!AA49</f>
        <v>0</v>
      </c>
      <c r="J25" s="18">
        <f>Tabelas!AB49</f>
        <v>0</v>
      </c>
      <c r="K25" s="128">
        <f>Tabelas!AC49</f>
        <v>0</v>
      </c>
      <c r="L25" s="128">
        <f>Tabelas!AD49</f>
        <v>0</v>
      </c>
      <c r="M25" s="128">
        <f>Tabelas!AE49</f>
        <v>0</v>
      </c>
      <c r="N25" s="34"/>
    </row>
    <row r="26" spans="1:17" ht="16" x14ac:dyDescent="0.2">
      <c r="A26" s="17" t="str">
        <f>Tabelas!S50</f>
        <v>Desp Var 9</v>
      </c>
      <c r="B26" s="128">
        <f>Tabelas!T50</f>
        <v>0</v>
      </c>
      <c r="C26" s="128">
        <f>Tabelas!U50</f>
        <v>0</v>
      </c>
      <c r="D26" s="18">
        <f>Tabelas!V50</f>
        <v>0</v>
      </c>
      <c r="E26" s="18">
        <f>Tabelas!W50</f>
        <v>0</v>
      </c>
      <c r="F26" s="18">
        <f>Tabelas!X50</f>
        <v>0</v>
      </c>
      <c r="G26" s="128">
        <f>Tabelas!Y50</f>
        <v>0</v>
      </c>
      <c r="H26" s="128">
        <f>Tabelas!Z50</f>
        <v>0</v>
      </c>
      <c r="I26" s="128">
        <f>Tabelas!AA50</f>
        <v>0</v>
      </c>
      <c r="J26" s="18">
        <f>Tabelas!AB50</f>
        <v>0</v>
      </c>
      <c r="K26" s="128">
        <f>Tabelas!AC50</f>
        <v>0</v>
      </c>
      <c r="L26" s="128">
        <f>Tabelas!AD50</f>
        <v>0</v>
      </c>
      <c r="M26" s="128">
        <f>Tabelas!AE50</f>
        <v>0</v>
      </c>
      <c r="N26" s="34"/>
    </row>
    <row r="27" spans="1:17" ht="16" x14ac:dyDescent="0.2">
      <c r="A27" s="17" t="str">
        <f>Tabelas!S51</f>
        <v>Desp</v>
      </c>
      <c r="B27" s="128">
        <f>Tabelas!T51</f>
        <v>0</v>
      </c>
      <c r="C27" s="128">
        <f>Tabelas!U51</f>
        <v>0</v>
      </c>
      <c r="D27" s="18">
        <f>Tabelas!V51</f>
        <v>0</v>
      </c>
      <c r="E27" s="18">
        <f>Tabelas!W51</f>
        <v>0</v>
      </c>
      <c r="F27" s="18">
        <f>Tabelas!X51</f>
        <v>0</v>
      </c>
      <c r="G27" s="128">
        <f>Tabelas!Y51</f>
        <v>0</v>
      </c>
      <c r="H27" s="128">
        <f>Tabelas!Z51</f>
        <v>0</v>
      </c>
      <c r="I27" s="128">
        <f>Tabelas!AA51</f>
        <v>0</v>
      </c>
      <c r="J27" s="18">
        <f>Tabelas!AB51</f>
        <v>0</v>
      </c>
      <c r="K27" s="128">
        <f>Tabelas!AC51</f>
        <v>0</v>
      </c>
      <c r="L27" s="128">
        <f>Tabelas!AD51</f>
        <v>0</v>
      </c>
      <c r="M27" s="128">
        <f>Tabelas!AE51</f>
        <v>0</v>
      </c>
      <c r="N27" s="34"/>
    </row>
    <row r="28" spans="1:17" x14ac:dyDescent="0.2">
      <c r="B28" s="34"/>
      <c r="C28" s="34"/>
      <c r="G28" s="34"/>
      <c r="H28" s="34"/>
      <c r="I28" s="34"/>
      <c r="K28" s="34"/>
      <c r="L28" s="34"/>
      <c r="M28" s="34"/>
      <c r="N28" s="34"/>
    </row>
    <row r="29" spans="1:17" ht="16" x14ac:dyDescent="0.2">
      <c r="A29" s="14" t="str">
        <f>Tabelas!AG53</f>
        <v>Detalhamento Método de Pagamento</v>
      </c>
      <c r="B29" s="19"/>
      <c r="C29" s="19"/>
      <c r="D29" s="19"/>
      <c r="E29" s="19"/>
      <c r="F29" s="19"/>
      <c r="G29" s="129"/>
      <c r="H29" s="129"/>
      <c r="I29" s="129"/>
      <c r="J29" s="19"/>
      <c r="K29" s="129"/>
      <c r="L29" s="129"/>
      <c r="M29" s="129"/>
      <c r="N29" s="34"/>
    </row>
    <row r="30" spans="1:17" x14ac:dyDescent="0.2">
      <c r="B30" s="121" t="str">
        <f>Tabelas!AH54</f>
        <v>Jan</v>
      </c>
      <c r="C30" s="121" t="str">
        <f>Tabelas!AI54</f>
        <v>Fev</v>
      </c>
      <c r="D30" s="121" t="str">
        <f>Tabelas!AJ54</f>
        <v>Mar</v>
      </c>
      <c r="E30" s="121" t="str">
        <f>Tabelas!AK54</f>
        <v>Abr</v>
      </c>
      <c r="F30" s="121" t="str">
        <f>Tabelas!AL54</f>
        <v>Mai</v>
      </c>
      <c r="G30" s="131" t="str">
        <f>Tabelas!AM54</f>
        <v>Jun</v>
      </c>
      <c r="H30" s="131" t="str">
        <f>Tabelas!AN54</f>
        <v>Jul</v>
      </c>
      <c r="I30" s="131" t="str">
        <f>Tabelas!AO54</f>
        <v>Ago</v>
      </c>
      <c r="J30" s="121" t="str">
        <f>Tabelas!AP54</f>
        <v>Set</v>
      </c>
      <c r="K30" s="131" t="str">
        <f>Tabelas!AQ54</f>
        <v>Out</v>
      </c>
      <c r="L30" s="131" t="str">
        <f>Tabelas!AR54</f>
        <v>Nov</v>
      </c>
      <c r="M30" s="131" t="str">
        <f>Tabelas!AS54</f>
        <v>Dez</v>
      </c>
      <c r="N30" s="34"/>
    </row>
    <row r="31" spans="1:17" ht="16" x14ac:dyDescent="0.2">
      <c r="A31" s="17" t="str">
        <f>Tabelas!AG55</f>
        <v>Pix</v>
      </c>
      <c r="B31" s="18" t="str">
        <f>Tabelas!AH55</f>
        <v/>
      </c>
      <c r="C31" s="18" t="str">
        <f>Tabelas!AI55</f>
        <v/>
      </c>
      <c r="D31" s="18" t="str">
        <f>Tabelas!AJ55</f>
        <v/>
      </c>
      <c r="E31" s="18" t="str">
        <f>Tabelas!AK55</f>
        <v/>
      </c>
      <c r="F31" s="18" t="str">
        <f>Tabelas!AL55</f>
        <v/>
      </c>
      <c r="G31" s="128" t="str">
        <f>Tabelas!AM55</f>
        <v/>
      </c>
      <c r="H31" s="128" t="str">
        <f>Tabelas!AN55</f>
        <v/>
      </c>
      <c r="I31" s="128" t="str">
        <f>Tabelas!AO55</f>
        <v/>
      </c>
      <c r="J31" s="18" t="str">
        <f>Tabelas!AP55</f>
        <v/>
      </c>
      <c r="K31" s="128" t="str">
        <f>Tabelas!AQ55</f>
        <v/>
      </c>
      <c r="L31" s="128" t="str">
        <f>Tabelas!AR55</f>
        <v/>
      </c>
      <c r="M31" s="128" t="str">
        <f>Tabelas!AS55</f>
        <v/>
      </c>
      <c r="N31" s="34"/>
      <c r="P31" s="34"/>
      <c r="Q31" s="34"/>
    </row>
    <row r="32" spans="1:17" ht="16" x14ac:dyDescent="0.2">
      <c r="A32" s="17" t="str">
        <f>Tabelas!AG56</f>
        <v>Dinheiro</v>
      </c>
      <c r="B32" s="18" t="str">
        <f>Tabelas!AH56</f>
        <v/>
      </c>
      <c r="C32" s="18" t="str">
        <f>Tabelas!AI56</f>
        <v/>
      </c>
      <c r="D32" s="18" t="str">
        <f>Tabelas!AJ56</f>
        <v/>
      </c>
      <c r="E32" s="18" t="str">
        <f>Tabelas!AK56</f>
        <v/>
      </c>
      <c r="F32" s="18" t="str">
        <f>Tabelas!AL56</f>
        <v/>
      </c>
      <c r="G32" s="128" t="str">
        <f>Tabelas!AM56</f>
        <v/>
      </c>
      <c r="H32" s="128" t="str">
        <f>Tabelas!AN56</f>
        <v/>
      </c>
      <c r="I32" s="128" t="str">
        <f>Tabelas!AO56</f>
        <v/>
      </c>
      <c r="J32" s="18" t="str">
        <f>Tabelas!AP56</f>
        <v/>
      </c>
      <c r="K32" s="128" t="str">
        <f>Tabelas!AQ56</f>
        <v/>
      </c>
      <c r="L32" s="128" t="str">
        <f>Tabelas!AR56</f>
        <v/>
      </c>
      <c r="M32" s="128" t="str">
        <f>Tabelas!AS56</f>
        <v/>
      </c>
      <c r="N32" s="34"/>
      <c r="P32" s="34"/>
      <c r="Q32" s="34"/>
    </row>
    <row r="33" spans="1:17" ht="16" x14ac:dyDescent="0.2">
      <c r="A33" s="17" t="str">
        <f>Tabelas!AG57</f>
        <v>Cartão Visa</v>
      </c>
      <c r="B33" s="128" t="str">
        <f>Tabelas!AH57</f>
        <v/>
      </c>
      <c r="C33" s="128" t="str">
        <f>Tabelas!AI57</f>
        <v/>
      </c>
      <c r="D33" s="18" t="str">
        <f>Tabelas!AJ57</f>
        <v/>
      </c>
      <c r="E33" s="18" t="str">
        <f>Tabelas!AK57</f>
        <v/>
      </c>
      <c r="F33" s="18" t="str">
        <f>Tabelas!AL57</f>
        <v/>
      </c>
      <c r="G33" s="128" t="str">
        <f>Tabelas!AM57</f>
        <v/>
      </c>
      <c r="H33" s="128" t="str">
        <f>Tabelas!AN57</f>
        <v/>
      </c>
      <c r="I33" s="128" t="str">
        <f>Tabelas!AO57</f>
        <v/>
      </c>
      <c r="J33" s="18" t="str">
        <f>Tabelas!AP57</f>
        <v/>
      </c>
      <c r="K33" s="128" t="str">
        <f>Tabelas!AQ57</f>
        <v/>
      </c>
      <c r="L33" s="128" t="str">
        <f>Tabelas!AR57</f>
        <v/>
      </c>
      <c r="M33" s="128" t="str">
        <f>Tabelas!AS57</f>
        <v/>
      </c>
      <c r="N33" s="34"/>
      <c r="P33" s="34"/>
      <c r="Q33" s="34"/>
    </row>
    <row r="34" spans="1:17" ht="16" x14ac:dyDescent="0.2">
      <c r="A34" s="17" t="str">
        <f>Tabelas!AG58</f>
        <v>Cartão Mastercard</v>
      </c>
      <c r="B34" s="128" t="str">
        <f>Tabelas!AH58</f>
        <v/>
      </c>
      <c r="C34" s="128" t="str">
        <f>Tabelas!AI58</f>
        <v/>
      </c>
      <c r="D34" s="18" t="str">
        <f>Tabelas!AJ58</f>
        <v/>
      </c>
      <c r="E34" s="18" t="str">
        <f>Tabelas!AK58</f>
        <v/>
      </c>
      <c r="F34" s="18" t="str">
        <f>Tabelas!AL58</f>
        <v/>
      </c>
      <c r="G34" s="128" t="str">
        <f>Tabelas!AM58</f>
        <v/>
      </c>
      <c r="H34" s="128" t="str">
        <f>Tabelas!AN58</f>
        <v/>
      </c>
      <c r="I34" s="128" t="str">
        <f>Tabelas!AO58</f>
        <v/>
      </c>
      <c r="J34" s="18" t="str">
        <f>Tabelas!AP58</f>
        <v/>
      </c>
      <c r="K34" s="128" t="str">
        <f>Tabelas!AQ58</f>
        <v/>
      </c>
      <c r="L34" s="128" t="str">
        <f>Tabelas!AR58</f>
        <v/>
      </c>
      <c r="M34" s="128" t="str">
        <f>Tabelas!AS58</f>
        <v/>
      </c>
      <c r="N34" s="34"/>
      <c r="P34" s="34"/>
      <c r="Q34" s="34"/>
    </row>
    <row r="35" spans="1:17" ht="16" x14ac:dyDescent="0.2">
      <c r="A35" s="17" t="str">
        <f>Tabelas!AG59</f>
        <v>Cartão Esposa</v>
      </c>
      <c r="B35" s="128" t="str">
        <f>Tabelas!AH59</f>
        <v/>
      </c>
      <c r="C35" s="128" t="str">
        <f>Tabelas!AI59</f>
        <v/>
      </c>
      <c r="D35" s="18" t="str">
        <f>Tabelas!AJ59</f>
        <v/>
      </c>
      <c r="E35" s="18" t="str">
        <f>Tabelas!AK59</f>
        <v/>
      </c>
      <c r="F35" s="18" t="str">
        <f>Tabelas!AL59</f>
        <v/>
      </c>
      <c r="G35" s="128" t="str">
        <f>Tabelas!AM59</f>
        <v/>
      </c>
      <c r="H35" s="128" t="str">
        <f>Tabelas!AN59</f>
        <v/>
      </c>
      <c r="I35" s="128" t="str">
        <f>Tabelas!AO59</f>
        <v/>
      </c>
      <c r="J35" s="18" t="str">
        <f>Tabelas!AP59</f>
        <v/>
      </c>
      <c r="K35" s="128" t="str">
        <f>Tabelas!AQ59</f>
        <v/>
      </c>
      <c r="L35" s="128" t="str">
        <f>Tabelas!AR59</f>
        <v/>
      </c>
      <c r="M35" s="128" t="str">
        <f>Tabelas!AS59</f>
        <v/>
      </c>
      <c r="N35" s="34"/>
      <c r="P35" s="34"/>
      <c r="Q35" s="34"/>
    </row>
    <row r="36" spans="1:17" ht="16" x14ac:dyDescent="0.2">
      <c r="A36" s="17" t="str">
        <f>Tabelas!AG60</f>
        <v>Cartão Filho</v>
      </c>
      <c r="B36" s="128" t="str">
        <f>Tabelas!AH60</f>
        <v/>
      </c>
      <c r="C36" s="128" t="str">
        <f>Tabelas!AI60</f>
        <v/>
      </c>
      <c r="D36" s="18" t="str">
        <f>Tabelas!AJ60</f>
        <v/>
      </c>
      <c r="E36" s="18" t="str">
        <f>Tabelas!AK60</f>
        <v/>
      </c>
      <c r="F36" s="18" t="str">
        <f>Tabelas!AL60</f>
        <v/>
      </c>
      <c r="G36" s="128" t="str">
        <f>Tabelas!AM60</f>
        <v/>
      </c>
      <c r="H36" s="128" t="str">
        <f>Tabelas!AN60</f>
        <v/>
      </c>
      <c r="I36" s="128" t="str">
        <f>Tabelas!AO60</f>
        <v/>
      </c>
      <c r="J36" s="18" t="str">
        <f>Tabelas!AP60</f>
        <v/>
      </c>
      <c r="K36" s="128" t="str">
        <f>Tabelas!AQ60</f>
        <v/>
      </c>
      <c r="L36" s="128" t="str">
        <f>Tabelas!AR60</f>
        <v/>
      </c>
      <c r="M36" s="128" t="str">
        <f>Tabelas!AS60</f>
        <v/>
      </c>
      <c r="N36" s="34"/>
      <c r="P36" s="34"/>
      <c r="Q36" s="34"/>
    </row>
    <row r="37" spans="1:17" ht="16" x14ac:dyDescent="0.2">
      <c r="A37" s="17" t="str">
        <f>Tabelas!AG61</f>
        <v>Cartão Filha</v>
      </c>
      <c r="B37" s="128" t="str">
        <f>Tabelas!AH61</f>
        <v/>
      </c>
      <c r="C37" s="128" t="str">
        <f>Tabelas!AI61</f>
        <v/>
      </c>
      <c r="D37" s="18" t="str">
        <f>Tabelas!AJ61</f>
        <v/>
      </c>
      <c r="E37" s="18" t="str">
        <f>Tabelas!AK61</f>
        <v/>
      </c>
      <c r="F37" s="18" t="str">
        <f>Tabelas!AL61</f>
        <v/>
      </c>
      <c r="G37" s="128" t="str">
        <f>Tabelas!AM61</f>
        <v/>
      </c>
      <c r="H37" s="128" t="str">
        <f>Tabelas!AN61</f>
        <v/>
      </c>
      <c r="I37" s="128" t="str">
        <f>Tabelas!AO61</f>
        <v/>
      </c>
      <c r="J37" s="18" t="str">
        <f>Tabelas!AP61</f>
        <v/>
      </c>
      <c r="K37" s="128" t="str">
        <f>Tabelas!AQ61</f>
        <v/>
      </c>
      <c r="L37" s="128" t="str">
        <f>Tabelas!AR61</f>
        <v/>
      </c>
      <c r="M37" s="128" t="str">
        <f>Tabelas!AS61</f>
        <v/>
      </c>
      <c r="N37" s="34"/>
      <c r="P37" s="34"/>
      <c r="Q37" s="34"/>
    </row>
    <row r="38" spans="1:17" ht="16" x14ac:dyDescent="0.2">
      <c r="A38" s="17" t="str">
        <f>Tabelas!AG62</f>
        <v>Cartão Sogra</v>
      </c>
      <c r="B38" s="128" t="str">
        <f>Tabelas!AH62</f>
        <v/>
      </c>
      <c r="C38" s="128" t="str">
        <f>Tabelas!AI62</f>
        <v/>
      </c>
      <c r="D38" s="18" t="str">
        <f>Tabelas!AJ62</f>
        <v/>
      </c>
      <c r="E38" s="18" t="str">
        <f>Tabelas!AK62</f>
        <v/>
      </c>
      <c r="F38" s="18" t="str">
        <f>Tabelas!AL62</f>
        <v/>
      </c>
      <c r="G38" s="128" t="str">
        <f>Tabelas!AM62</f>
        <v/>
      </c>
      <c r="H38" s="128" t="str">
        <f>Tabelas!AN62</f>
        <v/>
      </c>
      <c r="I38" s="128" t="str">
        <f>Tabelas!AO62</f>
        <v/>
      </c>
      <c r="J38" s="18" t="str">
        <f>Tabelas!AP62</f>
        <v/>
      </c>
      <c r="K38" s="128" t="str">
        <f>Tabelas!AQ62</f>
        <v/>
      </c>
      <c r="L38" s="128" t="str">
        <f>Tabelas!AR62</f>
        <v/>
      </c>
      <c r="M38" s="128" t="str">
        <f>Tabelas!AS62</f>
        <v/>
      </c>
      <c r="N38" s="34"/>
      <c r="P38" s="34"/>
      <c r="Q38" s="34"/>
    </row>
    <row r="39" spans="1:17" ht="16" x14ac:dyDescent="0.2">
      <c r="A39" s="17">
        <f>Tabelas!AG63</f>
        <v>0</v>
      </c>
      <c r="B39" s="128" t="str">
        <f>Tabelas!AH63</f>
        <v/>
      </c>
      <c r="C39" s="128" t="str">
        <f>Tabelas!AI63</f>
        <v/>
      </c>
      <c r="D39" s="18" t="str">
        <f>Tabelas!AJ63</f>
        <v/>
      </c>
      <c r="E39" s="18" t="str">
        <f>Tabelas!AK63</f>
        <v/>
      </c>
      <c r="F39" s="18" t="str">
        <f>Tabelas!AL63</f>
        <v/>
      </c>
      <c r="G39" s="128" t="str">
        <f>Tabelas!AM63</f>
        <v/>
      </c>
      <c r="H39" s="128" t="str">
        <f>Tabelas!AN63</f>
        <v/>
      </c>
      <c r="I39" s="128" t="str">
        <f>Tabelas!AO63</f>
        <v/>
      </c>
      <c r="J39" s="18" t="str">
        <f>Tabelas!AP63</f>
        <v/>
      </c>
      <c r="K39" s="128" t="str">
        <f>Tabelas!AQ63</f>
        <v/>
      </c>
      <c r="L39" s="128" t="str">
        <f>Tabelas!AR63</f>
        <v/>
      </c>
      <c r="M39" s="128" t="str">
        <f>Tabelas!AS63</f>
        <v/>
      </c>
      <c r="N39" s="34"/>
      <c r="P39" s="34"/>
      <c r="Q39" s="34"/>
    </row>
    <row r="40" spans="1:17" ht="16" x14ac:dyDescent="0.2">
      <c r="A40" s="17">
        <f>Tabelas!AG64</f>
        <v>0</v>
      </c>
      <c r="B40" s="128" t="str">
        <f>Tabelas!AH64</f>
        <v/>
      </c>
      <c r="C40" s="128" t="str">
        <f>Tabelas!AI64</f>
        <v/>
      </c>
      <c r="D40" s="18" t="str">
        <f>Tabelas!AJ64</f>
        <v/>
      </c>
      <c r="E40" s="18" t="str">
        <f>Tabelas!AK64</f>
        <v/>
      </c>
      <c r="F40" s="18" t="str">
        <f>Tabelas!AL64</f>
        <v/>
      </c>
      <c r="G40" s="128" t="str">
        <f>Tabelas!AM64</f>
        <v/>
      </c>
      <c r="H40" s="128" t="str">
        <f>Tabelas!AN64</f>
        <v/>
      </c>
      <c r="I40" s="128" t="str">
        <f>Tabelas!AO64</f>
        <v/>
      </c>
      <c r="J40" s="18" t="str">
        <f>Tabelas!AP64</f>
        <v/>
      </c>
      <c r="K40" s="128" t="str">
        <f>Tabelas!AQ64</f>
        <v/>
      </c>
      <c r="L40" s="128" t="str">
        <f>Tabelas!AR64</f>
        <v/>
      </c>
      <c r="M40" s="128" t="str">
        <f>Tabelas!AS64</f>
        <v/>
      </c>
      <c r="N40" s="34"/>
      <c r="P40" s="34"/>
      <c r="Q40" s="34"/>
    </row>
    <row r="41" spans="1:17" ht="16" x14ac:dyDescent="0.2">
      <c r="A41" s="17">
        <f>Tabelas!AG65</f>
        <v>0</v>
      </c>
      <c r="B41" s="128" t="str">
        <f>Tabelas!AH65</f>
        <v/>
      </c>
      <c r="C41" s="128" t="str">
        <f>Tabelas!AI65</f>
        <v/>
      </c>
      <c r="D41" s="18" t="str">
        <f>Tabelas!AJ65</f>
        <v/>
      </c>
      <c r="E41" s="18" t="str">
        <f>Tabelas!AK65</f>
        <v/>
      </c>
      <c r="F41" s="18" t="str">
        <f>Tabelas!AL65</f>
        <v/>
      </c>
      <c r="G41" s="128" t="str">
        <f>Tabelas!AM65</f>
        <v/>
      </c>
      <c r="H41" s="128" t="str">
        <f>Tabelas!AN65</f>
        <v/>
      </c>
      <c r="I41" s="128" t="str">
        <f>Tabelas!AO65</f>
        <v/>
      </c>
      <c r="J41" s="18" t="str">
        <f>Tabelas!AP65</f>
        <v/>
      </c>
      <c r="K41" s="128" t="str">
        <f>Tabelas!AQ65</f>
        <v/>
      </c>
      <c r="L41" s="128" t="str">
        <f>Tabelas!AR65</f>
        <v/>
      </c>
      <c r="M41" s="128" t="str">
        <f>Tabelas!AS65</f>
        <v/>
      </c>
      <c r="N41" s="34"/>
      <c r="P41" s="34"/>
      <c r="Q41" s="34"/>
    </row>
    <row r="42" spans="1:17" ht="16" x14ac:dyDescent="0.2">
      <c r="A42" s="17">
        <f>Tabelas!AG66</f>
        <v>0</v>
      </c>
      <c r="B42" s="128" t="str">
        <f>Tabelas!AH66</f>
        <v/>
      </c>
      <c r="C42" s="128" t="str">
        <f>Tabelas!AI66</f>
        <v/>
      </c>
      <c r="D42" s="18" t="str">
        <f>Tabelas!AJ66</f>
        <v/>
      </c>
      <c r="E42" s="18" t="str">
        <f>Tabelas!AK66</f>
        <v/>
      </c>
      <c r="F42" s="18" t="str">
        <f>Tabelas!AL66</f>
        <v/>
      </c>
      <c r="G42" s="128" t="str">
        <f>Tabelas!AM66</f>
        <v/>
      </c>
      <c r="H42" s="128" t="str">
        <f>Tabelas!AN66</f>
        <v/>
      </c>
      <c r="I42" s="128" t="str">
        <f>Tabelas!AO66</f>
        <v/>
      </c>
      <c r="J42" s="18" t="str">
        <f>Tabelas!AP66</f>
        <v/>
      </c>
      <c r="K42" s="128" t="str">
        <f>Tabelas!AQ66</f>
        <v/>
      </c>
      <c r="L42" s="128" t="str">
        <f>Tabelas!AR66</f>
        <v/>
      </c>
      <c r="M42" s="128" t="str">
        <f>Tabelas!AS66</f>
        <v/>
      </c>
      <c r="N42" s="34"/>
      <c r="P42" s="34"/>
      <c r="Q42" s="34"/>
    </row>
    <row r="43" spans="1:17" ht="16" x14ac:dyDescent="0.2">
      <c r="A43" s="17">
        <f>Tabelas!AG67</f>
        <v>0</v>
      </c>
      <c r="B43" s="18" t="str">
        <f>Tabelas!AH67</f>
        <v/>
      </c>
      <c r="C43" s="18" t="str">
        <f>Tabelas!AI67</f>
        <v/>
      </c>
      <c r="D43" s="18" t="str">
        <f>Tabelas!AJ67</f>
        <v/>
      </c>
      <c r="E43" s="18" t="str">
        <f>Tabelas!AK67</f>
        <v/>
      </c>
      <c r="F43" s="18" t="str">
        <f>Tabelas!AL67</f>
        <v/>
      </c>
      <c r="G43" s="128" t="str">
        <f>Tabelas!AM67</f>
        <v/>
      </c>
      <c r="H43" s="128" t="str">
        <f>Tabelas!AN67</f>
        <v/>
      </c>
      <c r="I43" s="128" t="str">
        <f>Tabelas!AO67</f>
        <v/>
      </c>
      <c r="J43" s="18" t="str">
        <f>Tabelas!AP67</f>
        <v/>
      </c>
      <c r="K43" s="128" t="str">
        <f>Tabelas!AQ67</f>
        <v/>
      </c>
      <c r="L43" s="128" t="str">
        <f>Tabelas!AR67</f>
        <v/>
      </c>
      <c r="M43" s="128" t="str">
        <f>Tabelas!AS67</f>
        <v/>
      </c>
      <c r="N43" s="34"/>
    </row>
    <row r="44" spans="1:17" ht="16" x14ac:dyDescent="0.2">
      <c r="A44" s="17">
        <f>Tabelas!AG68</f>
        <v>0</v>
      </c>
      <c r="B44" s="18" t="str">
        <f>Tabelas!AH68</f>
        <v/>
      </c>
      <c r="C44" s="18" t="str">
        <f>Tabelas!AI68</f>
        <v/>
      </c>
      <c r="D44" s="18" t="str">
        <f>Tabelas!AJ68</f>
        <v/>
      </c>
      <c r="E44" s="18" t="str">
        <f>Tabelas!AK68</f>
        <v/>
      </c>
      <c r="F44" s="18" t="str">
        <f>Tabelas!AL68</f>
        <v/>
      </c>
      <c r="G44" s="128" t="str">
        <f>Tabelas!AM68</f>
        <v/>
      </c>
      <c r="H44" s="128" t="str">
        <f>Tabelas!AN68</f>
        <v/>
      </c>
      <c r="I44" s="128" t="str">
        <f>Tabelas!AO68</f>
        <v/>
      </c>
      <c r="J44" s="18" t="str">
        <f>Tabelas!AP68</f>
        <v/>
      </c>
      <c r="K44" s="128" t="str">
        <f>Tabelas!AQ68</f>
        <v/>
      </c>
      <c r="L44" s="128" t="str">
        <f>Tabelas!AR68</f>
        <v/>
      </c>
      <c r="M44" s="128" t="str">
        <f>Tabelas!AS68</f>
        <v/>
      </c>
      <c r="N44" s="34"/>
    </row>
    <row r="45" spans="1:17" ht="16" x14ac:dyDescent="0.2">
      <c r="A45" s="17">
        <f>Tabelas!AG69</f>
        <v>0</v>
      </c>
      <c r="B45" s="18" t="str">
        <f>Tabelas!AH69</f>
        <v/>
      </c>
      <c r="C45" s="18" t="str">
        <f>Tabelas!AI69</f>
        <v/>
      </c>
      <c r="D45" s="18" t="str">
        <f>Tabelas!AJ69</f>
        <v/>
      </c>
      <c r="E45" s="18" t="str">
        <f>Tabelas!AK69</f>
        <v/>
      </c>
      <c r="F45" s="18" t="str">
        <f>Tabelas!AL69</f>
        <v/>
      </c>
      <c r="G45" s="128" t="str">
        <f>Tabelas!AM69</f>
        <v/>
      </c>
      <c r="H45" s="128" t="str">
        <f>Tabelas!AN69</f>
        <v/>
      </c>
      <c r="I45" s="128" t="str">
        <f>Tabelas!AO69</f>
        <v/>
      </c>
      <c r="J45" s="18" t="str">
        <f>Tabelas!AP69</f>
        <v/>
      </c>
      <c r="K45" s="128" t="str">
        <f>Tabelas!AQ69</f>
        <v/>
      </c>
      <c r="L45" s="128" t="str">
        <f>Tabelas!AR69</f>
        <v/>
      </c>
      <c r="M45" s="128" t="str">
        <f>Tabelas!AS69</f>
        <v/>
      </c>
      <c r="N45" s="34"/>
    </row>
    <row r="46" spans="1:17" ht="16" x14ac:dyDescent="0.2">
      <c r="A46" s="17">
        <f>Tabelas!AG70</f>
        <v>0</v>
      </c>
      <c r="B46" s="18" t="str">
        <f>Tabelas!AH70</f>
        <v/>
      </c>
      <c r="C46" s="18" t="str">
        <f>Tabelas!AI70</f>
        <v/>
      </c>
      <c r="D46" s="18" t="str">
        <f>Tabelas!AJ70</f>
        <v/>
      </c>
      <c r="E46" s="18" t="str">
        <f>Tabelas!AK70</f>
        <v/>
      </c>
      <c r="F46" s="18" t="str">
        <f>Tabelas!AL70</f>
        <v/>
      </c>
      <c r="G46" s="128" t="str">
        <f>Tabelas!AM70</f>
        <v/>
      </c>
      <c r="H46" s="128" t="str">
        <f>Tabelas!AN70</f>
        <v/>
      </c>
      <c r="I46" s="128" t="str">
        <f>Tabelas!AO70</f>
        <v/>
      </c>
      <c r="J46" s="18" t="str">
        <f>Tabelas!AP70</f>
        <v/>
      </c>
      <c r="K46" s="128" t="str">
        <f>Tabelas!AQ70</f>
        <v/>
      </c>
      <c r="L46" s="128" t="str">
        <f>Tabelas!AR70</f>
        <v/>
      </c>
      <c r="M46" s="128" t="str">
        <f>Tabelas!AS70</f>
        <v/>
      </c>
      <c r="N46" s="34"/>
    </row>
    <row r="47" spans="1:17" ht="16" x14ac:dyDescent="0.2">
      <c r="A47" s="17">
        <f>Tabelas!AG71</f>
        <v>0</v>
      </c>
      <c r="B47" s="18" t="str">
        <f>Tabelas!AH71</f>
        <v/>
      </c>
      <c r="C47" s="18" t="str">
        <f>Tabelas!AI71</f>
        <v/>
      </c>
      <c r="D47" s="18" t="str">
        <f>Tabelas!AJ71</f>
        <v/>
      </c>
      <c r="E47" s="18" t="str">
        <f>Tabelas!AK71</f>
        <v/>
      </c>
      <c r="F47" s="18" t="str">
        <f>Tabelas!AL71</f>
        <v/>
      </c>
      <c r="G47" s="128" t="str">
        <f>Tabelas!AM71</f>
        <v/>
      </c>
      <c r="H47" s="128" t="str">
        <f>Tabelas!AN71</f>
        <v/>
      </c>
      <c r="I47" s="128" t="str">
        <f>Tabelas!AO71</f>
        <v/>
      </c>
      <c r="J47" s="18" t="str">
        <f>Tabelas!AP71</f>
        <v/>
      </c>
      <c r="K47" s="128" t="str">
        <f>Tabelas!AQ71</f>
        <v/>
      </c>
      <c r="L47" s="128" t="str">
        <f>Tabelas!AR71</f>
        <v/>
      </c>
      <c r="M47" s="128" t="str">
        <f>Tabelas!AS71</f>
        <v/>
      </c>
      <c r="N47" s="34"/>
    </row>
    <row r="48" spans="1:17" x14ac:dyDescent="0.2">
      <c r="G48" s="34"/>
      <c r="H48" s="34"/>
      <c r="I48" s="34"/>
      <c r="K48" s="34"/>
      <c r="L48" s="34"/>
      <c r="M48" s="34"/>
      <c r="N48" s="34"/>
    </row>
    <row r="49" spans="1:14" ht="16" x14ac:dyDescent="0.2">
      <c r="A49" s="14" t="str">
        <f>Tabelas!S53</f>
        <v>Detalhamento Despesas Fixas</v>
      </c>
      <c r="B49" s="19"/>
      <c r="C49" s="19"/>
      <c r="D49" s="19"/>
      <c r="E49" s="19"/>
      <c r="F49" s="19"/>
      <c r="G49" s="129"/>
      <c r="H49" s="129"/>
      <c r="I49" s="129"/>
      <c r="J49" s="19"/>
      <c r="K49" s="129"/>
      <c r="L49" s="129"/>
      <c r="M49" s="129"/>
      <c r="N49" s="34"/>
    </row>
    <row r="50" spans="1:14" ht="16" x14ac:dyDescent="0.2">
      <c r="B50" s="17" t="str">
        <f>Tabelas!T54</f>
        <v>Jan</v>
      </c>
      <c r="C50" s="17" t="str">
        <f>Tabelas!U54</f>
        <v>Fev</v>
      </c>
      <c r="D50" s="17" t="str">
        <f>Tabelas!V54</f>
        <v>Mar</v>
      </c>
      <c r="E50" s="17" t="str">
        <f>Tabelas!W54</f>
        <v>Abr</v>
      </c>
      <c r="F50" s="17" t="str">
        <f>Tabelas!X54</f>
        <v xml:space="preserve">Mai </v>
      </c>
      <c r="G50" s="130" t="str">
        <f>Tabelas!Y54</f>
        <v>Jun</v>
      </c>
      <c r="H50" s="130" t="str">
        <f>Tabelas!Z54</f>
        <v>Jul</v>
      </c>
      <c r="I50" s="130" t="str">
        <f>Tabelas!AA54</f>
        <v>Ago</v>
      </c>
      <c r="J50" s="17" t="str">
        <f>Tabelas!AB54</f>
        <v>Set</v>
      </c>
      <c r="K50" s="130" t="str">
        <f>Tabelas!AC54</f>
        <v>Out</v>
      </c>
      <c r="L50" s="130" t="str">
        <f>Tabelas!AD54</f>
        <v>Nov</v>
      </c>
      <c r="M50" s="130" t="str">
        <f>Tabelas!AE54</f>
        <v>Dez</v>
      </c>
      <c r="N50" s="34"/>
    </row>
    <row r="51" spans="1:14" ht="16" x14ac:dyDescent="0.2">
      <c r="A51" s="17" t="str">
        <f>Tabelas!S55</f>
        <v>Aluguel + Condomínio</v>
      </c>
      <c r="B51" s="18" t="str">
        <f>Tabelas!T55</f>
        <v/>
      </c>
      <c r="C51" s="18" t="str">
        <f>Tabelas!U55</f>
        <v/>
      </c>
      <c r="D51" s="18" t="str">
        <f>Tabelas!V55</f>
        <v/>
      </c>
      <c r="E51" s="18" t="str">
        <f>Tabelas!W55</f>
        <v/>
      </c>
      <c r="F51" s="18" t="str">
        <f>Tabelas!X55</f>
        <v/>
      </c>
      <c r="G51" s="128" t="str">
        <f>Tabelas!Y55</f>
        <v/>
      </c>
      <c r="H51" s="128" t="str">
        <f>Tabelas!Z55</f>
        <v/>
      </c>
      <c r="I51" s="128" t="str">
        <f>Tabelas!AA55</f>
        <v/>
      </c>
      <c r="J51" s="18" t="str">
        <f>Tabelas!AB55</f>
        <v/>
      </c>
      <c r="K51" s="128" t="str">
        <f>Tabelas!AC55</f>
        <v/>
      </c>
      <c r="L51" s="128" t="str">
        <f>Tabelas!AD55</f>
        <v/>
      </c>
      <c r="M51" s="128" t="str">
        <f>Tabelas!AE55</f>
        <v/>
      </c>
      <c r="N51" s="34"/>
    </row>
    <row r="52" spans="1:14" ht="16" x14ac:dyDescent="0.2">
      <c r="A52" s="17" t="str">
        <f>Tabelas!S56</f>
        <v>Água</v>
      </c>
      <c r="B52" s="18" t="str">
        <f>Tabelas!T56</f>
        <v/>
      </c>
      <c r="C52" s="18" t="str">
        <f>Tabelas!U56</f>
        <v/>
      </c>
      <c r="D52" s="18" t="str">
        <f>Tabelas!V56</f>
        <v/>
      </c>
      <c r="E52" s="18" t="str">
        <f>Tabelas!W56</f>
        <v/>
      </c>
      <c r="F52" s="18" t="str">
        <f>Tabelas!X56</f>
        <v/>
      </c>
      <c r="G52" s="128" t="str">
        <f>Tabelas!Y56</f>
        <v/>
      </c>
      <c r="H52" s="128" t="str">
        <f>Tabelas!Z56</f>
        <v/>
      </c>
      <c r="I52" s="128" t="str">
        <f>Tabelas!AA56</f>
        <v/>
      </c>
      <c r="J52" s="18" t="str">
        <f>Tabelas!AB56</f>
        <v/>
      </c>
      <c r="K52" s="128" t="str">
        <f>Tabelas!AC56</f>
        <v/>
      </c>
      <c r="L52" s="128" t="str">
        <f>Tabelas!AD56</f>
        <v/>
      </c>
      <c r="M52" s="128" t="str">
        <f>Tabelas!AE56</f>
        <v/>
      </c>
      <c r="N52" s="34"/>
    </row>
    <row r="53" spans="1:14" ht="16" x14ac:dyDescent="0.2">
      <c r="A53" s="17" t="str">
        <f>Tabelas!S57</f>
        <v>Luz</v>
      </c>
      <c r="B53" s="18" t="str">
        <f>Tabelas!T57</f>
        <v/>
      </c>
      <c r="C53" s="18" t="str">
        <f>Tabelas!U57</f>
        <v/>
      </c>
      <c r="D53" s="18" t="str">
        <f>Tabelas!V57</f>
        <v/>
      </c>
      <c r="E53" s="18" t="str">
        <f>Tabelas!W57</f>
        <v/>
      </c>
      <c r="F53" s="18" t="str">
        <f>Tabelas!X57</f>
        <v/>
      </c>
      <c r="G53" s="128" t="str">
        <f>Tabelas!Y57</f>
        <v/>
      </c>
      <c r="H53" s="128" t="str">
        <f>Tabelas!Z57</f>
        <v/>
      </c>
      <c r="I53" s="128" t="str">
        <f>Tabelas!AA57</f>
        <v/>
      </c>
      <c r="J53" s="18" t="str">
        <f>Tabelas!AB57</f>
        <v/>
      </c>
      <c r="K53" s="128" t="str">
        <f>Tabelas!AC57</f>
        <v/>
      </c>
      <c r="L53" s="128" t="str">
        <f>Tabelas!AD57</f>
        <v/>
      </c>
      <c r="M53" s="128" t="str">
        <f>Tabelas!AE57</f>
        <v/>
      </c>
      <c r="N53" s="34"/>
    </row>
    <row r="54" spans="1:14" ht="16" x14ac:dyDescent="0.2">
      <c r="A54" s="17" t="str">
        <f>Tabelas!S58</f>
        <v>Internet</v>
      </c>
      <c r="B54" s="18" t="str">
        <f>Tabelas!T58</f>
        <v/>
      </c>
      <c r="C54" s="18" t="str">
        <f>Tabelas!U58</f>
        <v/>
      </c>
      <c r="D54" s="18" t="str">
        <f>Tabelas!V58</f>
        <v/>
      </c>
      <c r="E54" s="18" t="str">
        <f>Tabelas!W58</f>
        <v/>
      </c>
      <c r="F54" s="18" t="str">
        <f>Tabelas!X58</f>
        <v/>
      </c>
      <c r="G54" s="128" t="str">
        <f>Tabelas!Y58</f>
        <v/>
      </c>
      <c r="H54" s="128" t="str">
        <f>Tabelas!Z58</f>
        <v/>
      </c>
      <c r="I54" s="128" t="str">
        <f>Tabelas!AA58</f>
        <v/>
      </c>
      <c r="J54" s="18" t="str">
        <f>Tabelas!AB58</f>
        <v/>
      </c>
      <c r="K54" s="128" t="str">
        <f>Tabelas!AC58</f>
        <v/>
      </c>
      <c r="L54" s="128" t="str">
        <f>Tabelas!AD58</f>
        <v/>
      </c>
      <c r="M54" s="128" t="str">
        <f>Tabelas!AE58</f>
        <v/>
      </c>
      <c r="N54" s="34"/>
    </row>
    <row r="55" spans="1:14" ht="16" x14ac:dyDescent="0.2">
      <c r="A55" s="17" t="str">
        <f>Tabelas!S59</f>
        <v>Financiamento</v>
      </c>
      <c r="B55" s="18" t="str">
        <f>Tabelas!T59</f>
        <v/>
      </c>
      <c r="C55" s="18" t="str">
        <f>Tabelas!U59</f>
        <v/>
      </c>
      <c r="D55" s="18" t="str">
        <f>Tabelas!V59</f>
        <v/>
      </c>
      <c r="E55" s="18" t="str">
        <f>Tabelas!W59</f>
        <v/>
      </c>
      <c r="F55" s="18" t="str">
        <f>Tabelas!X59</f>
        <v/>
      </c>
      <c r="G55" s="128" t="str">
        <f>Tabelas!Y59</f>
        <v/>
      </c>
      <c r="H55" s="128" t="str">
        <f>Tabelas!Z59</f>
        <v/>
      </c>
      <c r="I55" s="128" t="str">
        <f>Tabelas!AA59</f>
        <v/>
      </c>
      <c r="J55" s="18" t="str">
        <f>Tabelas!AB59</f>
        <v/>
      </c>
      <c r="K55" s="128" t="str">
        <f>Tabelas!AC59</f>
        <v/>
      </c>
      <c r="L55" s="128" t="str">
        <f>Tabelas!AD59</f>
        <v/>
      </c>
      <c r="M55" s="128" t="str">
        <f>Tabelas!AE59</f>
        <v/>
      </c>
      <c r="N55" s="34"/>
    </row>
    <row r="56" spans="1:14" ht="16" x14ac:dyDescent="0.2">
      <c r="A56" s="17" t="str">
        <f>Tabelas!S60</f>
        <v>Plano de Saúde</v>
      </c>
      <c r="B56" s="18" t="str">
        <f>Tabelas!T60</f>
        <v/>
      </c>
      <c r="C56" s="18" t="str">
        <f>Tabelas!U60</f>
        <v/>
      </c>
      <c r="D56" s="18" t="str">
        <f>Tabelas!V60</f>
        <v/>
      </c>
      <c r="E56" s="18" t="str">
        <f>Tabelas!W60</f>
        <v/>
      </c>
      <c r="F56" s="18" t="str">
        <f>Tabelas!X60</f>
        <v/>
      </c>
      <c r="G56" s="128" t="str">
        <f>Tabelas!Y60</f>
        <v/>
      </c>
      <c r="H56" s="128" t="str">
        <f>Tabelas!Z60</f>
        <v/>
      </c>
      <c r="I56" s="128" t="str">
        <f>Tabelas!AA60</f>
        <v/>
      </c>
      <c r="J56" s="18" t="str">
        <f>Tabelas!AB60</f>
        <v/>
      </c>
      <c r="K56" s="128" t="str">
        <f>Tabelas!AC60</f>
        <v/>
      </c>
      <c r="L56" s="128" t="str">
        <f>Tabelas!AD60</f>
        <v/>
      </c>
      <c r="M56" s="128" t="str">
        <f>Tabelas!AE60</f>
        <v/>
      </c>
      <c r="N56" s="34"/>
    </row>
    <row r="57" spans="1:14" ht="16" x14ac:dyDescent="0.2">
      <c r="A57" s="17" t="str">
        <f>Tabelas!S61</f>
        <v>Seguro Carro</v>
      </c>
      <c r="B57" s="18" t="str">
        <f>Tabelas!T61</f>
        <v/>
      </c>
      <c r="C57" s="18" t="str">
        <f>Tabelas!U61</f>
        <v/>
      </c>
      <c r="D57" s="18" t="str">
        <f>Tabelas!V61</f>
        <v/>
      </c>
      <c r="E57" s="18" t="str">
        <f>Tabelas!W61</f>
        <v/>
      </c>
      <c r="F57" s="18" t="str">
        <f>Tabelas!X61</f>
        <v/>
      </c>
      <c r="G57" s="128" t="str">
        <f>Tabelas!Y61</f>
        <v/>
      </c>
      <c r="H57" s="128" t="str">
        <f>Tabelas!Z61</f>
        <v/>
      </c>
      <c r="I57" s="128" t="str">
        <f>Tabelas!AA61</f>
        <v/>
      </c>
      <c r="J57" s="18" t="str">
        <f>Tabelas!AB61</f>
        <v/>
      </c>
      <c r="K57" s="128" t="str">
        <f>Tabelas!AC61</f>
        <v/>
      </c>
      <c r="L57" s="128" t="str">
        <f>Tabelas!AD61</f>
        <v/>
      </c>
      <c r="M57" s="128" t="str">
        <f>Tabelas!AE61</f>
        <v/>
      </c>
      <c r="N57" s="34"/>
    </row>
    <row r="58" spans="1:14" ht="16" x14ac:dyDescent="0.2">
      <c r="A58" s="17" t="str">
        <f>Tabelas!S62</f>
        <v>Parcela Imóvel</v>
      </c>
      <c r="B58" s="18" t="str">
        <f>Tabelas!T62</f>
        <v/>
      </c>
      <c r="C58" s="18" t="str">
        <f>Tabelas!U62</f>
        <v/>
      </c>
      <c r="D58" s="18" t="str">
        <f>Tabelas!V62</f>
        <v/>
      </c>
      <c r="E58" s="18" t="str">
        <f>Tabelas!W62</f>
        <v/>
      </c>
      <c r="F58" s="18" t="str">
        <f>Tabelas!X62</f>
        <v/>
      </c>
      <c r="G58" s="128" t="str">
        <f>Tabelas!Y62</f>
        <v/>
      </c>
      <c r="H58" s="128" t="str">
        <f>Tabelas!Z62</f>
        <v/>
      </c>
      <c r="I58" s="128" t="str">
        <f>Tabelas!AA62</f>
        <v/>
      </c>
      <c r="J58" s="18" t="str">
        <f>Tabelas!AB62</f>
        <v/>
      </c>
      <c r="K58" s="128" t="str">
        <f>Tabelas!AC62</f>
        <v/>
      </c>
      <c r="L58" s="128" t="str">
        <f>Tabelas!AD62</f>
        <v/>
      </c>
      <c r="M58" s="128" t="str">
        <f>Tabelas!AE62</f>
        <v/>
      </c>
      <c r="N58" s="34"/>
    </row>
    <row r="59" spans="1:14" ht="16" x14ac:dyDescent="0.2">
      <c r="A59" s="17" t="str">
        <f>Tabelas!S63</f>
        <v>Faculdade</v>
      </c>
      <c r="B59" s="18" t="str">
        <f>Tabelas!T63</f>
        <v/>
      </c>
      <c r="C59" s="18" t="str">
        <f>Tabelas!U63</f>
        <v/>
      </c>
      <c r="D59" s="18" t="str">
        <f>Tabelas!V63</f>
        <v/>
      </c>
      <c r="E59" s="18" t="str">
        <f>Tabelas!W63</f>
        <v/>
      </c>
      <c r="F59" s="18" t="str">
        <f>Tabelas!X63</f>
        <v/>
      </c>
      <c r="G59" s="128" t="str">
        <f>Tabelas!Y63</f>
        <v/>
      </c>
      <c r="H59" s="128" t="str">
        <f>Tabelas!Z63</f>
        <v/>
      </c>
      <c r="I59" s="128" t="str">
        <f>Tabelas!AA63</f>
        <v/>
      </c>
      <c r="J59" s="18" t="str">
        <f>Tabelas!AB63</f>
        <v/>
      </c>
      <c r="K59" s="128" t="str">
        <f>Tabelas!AC63</f>
        <v/>
      </c>
      <c r="L59" s="128" t="str">
        <f>Tabelas!AD63</f>
        <v/>
      </c>
      <c r="M59" s="128" t="str">
        <f>Tabelas!AE63</f>
        <v/>
      </c>
      <c r="N59" s="34"/>
    </row>
    <row r="60" spans="1:14" ht="16" x14ac:dyDescent="0.2">
      <c r="A60" s="17" t="str">
        <f>Tabelas!S64</f>
        <v>Despesa 10</v>
      </c>
      <c r="B60" s="18" t="str">
        <f>Tabelas!T64</f>
        <v/>
      </c>
      <c r="C60" s="18" t="str">
        <f>Tabelas!U64</f>
        <v/>
      </c>
      <c r="D60" s="18" t="str">
        <f>Tabelas!V64</f>
        <v/>
      </c>
      <c r="E60" s="18" t="str">
        <f>Tabelas!W64</f>
        <v/>
      </c>
      <c r="F60" s="18" t="str">
        <f>Tabelas!X64</f>
        <v/>
      </c>
      <c r="G60" s="128" t="str">
        <f>Tabelas!Y64</f>
        <v/>
      </c>
      <c r="H60" s="128" t="str">
        <f>Tabelas!Z64</f>
        <v/>
      </c>
      <c r="I60" s="128" t="str">
        <f>Tabelas!AA64</f>
        <v/>
      </c>
      <c r="J60" s="18" t="str">
        <f>Tabelas!AB64</f>
        <v/>
      </c>
      <c r="K60" s="128" t="str">
        <f>Tabelas!AC64</f>
        <v/>
      </c>
      <c r="L60" s="128" t="str">
        <f>Tabelas!AD64</f>
        <v/>
      </c>
      <c r="M60" s="128" t="str">
        <f>Tabelas!AE64</f>
        <v/>
      </c>
      <c r="N60" s="34"/>
    </row>
    <row r="61" spans="1:14" ht="16" x14ac:dyDescent="0.2">
      <c r="A61" s="17" t="str">
        <f>Tabelas!S65</f>
        <v>Despesa 11</v>
      </c>
      <c r="B61" s="18" t="str">
        <f>Tabelas!T65</f>
        <v/>
      </c>
      <c r="C61" s="18" t="str">
        <f>Tabelas!U65</f>
        <v/>
      </c>
      <c r="D61" s="18" t="str">
        <f>Tabelas!V65</f>
        <v/>
      </c>
      <c r="E61" s="18" t="str">
        <f>Tabelas!W65</f>
        <v/>
      </c>
      <c r="F61" s="18" t="str">
        <f>Tabelas!X65</f>
        <v/>
      </c>
      <c r="G61" s="128" t="str">
        <f>Tabelas!Y65</f>
        <v/>
      </c>
      <c r="H61" s="128" t="str">
        <f>Tabelas!Z65</f>
        <v/>
      </c>
      <c r="I61" s="128" t="str">
        <f>Tabelas!AA65</f>
        <v/>
      </c>
      <c r="J61" s="18" t="str">
        <f>Tabelas!AB65</f>
        <v/>
      </c>
      <c r="K61" s="128" t="str">
        <f>Tabelas!AC65</f>
        <v/>
      </c>
      <c r="L61" s="128" t="str">
        <f>Tabelas!AD65</f>
        <v/>
      </c>
      <c r="M61" s="128" t="str">
        <f>Tabelas!AE65</f>
        <v/>
      </c>
      <c r="N61" s="34"/>
    </row>
    <row r="62" spans="1:14" ht="16" x14ac:dyDescent="0.2">
      <c r="A62" s="17" t="str">
        <f>Tabelas!S66</f>
        <v>Despesa 12</v>
      </c>
      <c r="B62" s="18" t="str">
        <f>Tabelas!T66</f>
        <v/>
      </c>
      <c r="C62" s="18" t="str">
        <f>Tabelas!U66</f>
        <v/>
      </c>
      <c r="D62" s="18" t="str">
        <f>Tabelas!V66</f>
        <v/>
      </c>
      <c r="E62" s="18" t="str">
        <f>Tabelas!W66</f>
        <v/>
      </c>
      <c r="F62" s="18" t="str">
        <f>Tabelas!X66</f>
        <v/>
      </c>
      <c r="G62" s="128" t="str">
        <f>Tabelas!Y66</f>
        <v/>
      </c>
      <c r="H62" s="128" t="str">
        <f>Tabelas!Z66</f>
        <v/>
      </c>
      <c r="I62" s="128" t="str">
        <f>Tabelas!AA66</f>
        <v/>
      </c>
      <c r="J62" s="18" t="str">
        <f>Tabelas!AB66</f>
        <v/>
      </c>
      <c r="K62" s="128" t="str">
        <f>Tabelas!AC66</f>
        <v/>
      </c>
      <c r="L62" s="128" t="str">
        <f>Tabelas!AD66</f>
        <v/>
      </c>
      <c r="M62" s="128" t="str">
        <f>Tabelas!AE66</f>
        <v/>
      </c>
      <c r="N62" s="34"/>
    </row>
    <row r="63" spans="1:14" ht="16" x14ac:dyDescent="0.2">
      <c r="A63" s="17" t="str">
        <f>Tabelas!S67</f>
        <v/>
      </c>
      <c r="B63" s="18" t="str">
        <f>Tabelas!T67</f>
        <v/>
      </c>
      <c r="C63" s="18" t="str">
        <f>Tabelas!U67</f>
        <v/>
      </c>
      <c r="D63" s="18" t="str">
        <f>Tabelas!V67</f>
        <v/>
      </c>
      <c r="E63" s="18" t="str">
        <f>Tabelas!W67</f>
        <v/>
      </c>
      <c r="F63" s="18" t="str">
        <f>Tabelas!X67</f>
        <v/>
      </c>
      <c r="G63" s="128" t="str">
        <f>Tabelas!Y67</f>
        <v/>
      </c>
      <c r="H63" s="128" t="str">
        <f>Tabelas!Z67</f>
        <v/>
      </c>
      <c r="I63" s="128" t="str">
        <f>Tabelas!AA67</f>
        <v/>
      </c>
      <c r="J63" s="18" t="str">
        <f>Tabelas!AB67</f>
        <v/>
      </c>
      <c r="K63" s="128" t="str">
        <f>Tabelas!AC67</f>
        <v/>
      </c>
      <c r="L63" s="128" t="str">
        <f>Tabelas!AD67</f>
        <v/>
      </c>
      <c r="M63" s="128" t="str">
        <f>Tabelas!AE67</f>
        <v/>
      </c>
      <c r="N63" s="34"/>
    </row>
    <row r="64" spans="1:14" ht="16" x14ac:dyDescent="0.2">
      <c r="A64" s="17" t="str">
        <f>Tabelas!S68</f>
        <v/>
      </c>
      <c r="B64" s="18" t="str">
        <f>Tabelas!T68</f>
        <v/>
      </c>
      <c r="C64" s="18" t="str">
        <f>Tabelas!U68</f>
        <v/>
      </c>
      <c r="D64" s="18" t="str">
        <f>Tabelas!V68</f>
        <v/>
      </c>
      <c r="E64" s="18" t="str">
        <f>Tabelas!W68</f>
        <v/>
      </c>
      <c r="F64" s="18" t="str">
        <f>Tabelas!X68</f>
        <v/>
      </c>
      <c r="G64" s="128" t="str">
        <f>Tabelas!Y68</f>
        <v/>
      </c>
      <c r="H64" s="128" t="str">
        <f>Tabelas!Z68</f>
        <v/>
      </c>
      <c r="I64" s="128" t="str">
        <f>Tabelas!AA68</f>
        <v/>
      </c>
      <c r="J64" s="18" t="str">
        <f>Tabelas!AB68</f>
        <v/>
      </c>
      <c r="K64" s="128" t="str">
        <f>Tabelas!AC68</f>
        <v/>
      </c>
      <c r="L64" s="128" t="str">
        <f>Tabelas!AD68</f>
        <v/>
      </c>
      <c r="M64" s="128" t="str">
        <f>Tabelas!AE68</f>
        <v/>
      </c>
      <c r="N64" s="34"/>
    </row>
    <row r="65" spans="1:14" ht="16" x14ac:dyDescent="0.2">
      <c r="A65" s="17" t="str">
        <f>Tabelas!S69</f>
        <v/>
      </c>
      <c r="B65" s="18" t="str">
        <f>Tabelas!T69</f>
        <v/>
      </c>
      <c r="C65" s="18" t="str">
        <f>Tabelas!U69</f>
        <v/>
      </c>
      <c r="D65" s="18" t="str">
        <f>Tabelas!V69</f>
        <v/>
      </c>
      <c r="E65" s="18" t="str">
        <f>Tabelas!W69</f>
        <v/>
      </c>
      <c r="F65" s="18" t="str">
        <f>Tabelas!X69</f>
        <v/>
      </c>
      <c r="G65" s="128" t="str">
        <f>Tabelas!Y69</f>
        <v/>
      </c>
      <c r="H65" s="128" t="str">
        <f>Tabelas!Z69</f>
        <v/>
      </c>
      <c r="I65" s="128" t="str">
        <f>Tabelas!AA69</f>
        <v/>
      </c>
      <c r="J65" s="18" t="str">
        <f>Tabelas!AB69</f>
        <v/>
      </c>
      <c r="K65" s="128" t="str">
        <f>Tabelas!AC69</f>
        <v/>
      </c>
      <c r="L65" s="128" t="str">
        <f>Tabelas!AD69</f>
        <v/>
      </c>
      <c r="M65" s="128" t="str">
        <f>Tabelas!AE69</f>
        <v/>
      </c>
      <c r="N65" s="34"/>
    </row>
    <row r="66" spans="1:14" ht="16" x14ac:dyDescent="0.2">
      <c r="A66" s="17" t="str">
        <f>Tabelas!S70</f>
        <v/>
      </c>
      <c r="B66" s="18" t="str">
        <f>Tabelas!T70</f>
        <v/>
      </c>
      <c r="C66" s="18" t="str">
        <f>Tabelas!U70</f>
        <v/>
      </c>
      <c r="D66" s="18" t="str">
        <f>Tabelas!V70</f>
        <v/>
      </c>
      <c r="E66" s="18" t="str">
        <f>Tabelas!W70</f>
        <v/>
      </c>
      <c r="F66" s="18" t="str">
        <f>Tabelas!X70</f>
        <v/>
      </c>
      <c r="G66" s="128" t="str">
        <f>Tabelas!Y70</f>
        <v/>
      </c>
      <c r="H66" s="128" t="str">
        <f>Tabelas!Z70</f>
        <v/>
      </c>
      <c r="I66" s="128" t="str">
        <f>Tabelas!AA70</f>
        <v/>
      </c>
      <c r="J66" s="18" t="str">
        <f>Tabelas!AB70</f>
        <v/>
      </c>
      <c r="K66" s="128" t="str">
        <f>Tabelas!AC70</f>
        <v/>
      </c>
      <c r="L66" s="128" t="str">
        <f>Tabelas!AD70</f>
        <v/>
      </c>
      <c r="M66" s="128" t="str">
        <f>Tabelas!AE70</f>
        <v/>
      </c>
      <c r="N66" s="34"/>
    </row>
    <row r="67" spans="1:14" ht="16" x14ac:dyDescent="0.2">
      <c r="A67" s="17" t="str">
        <f>Tabelas!S71</f>
        <v/>
      </c>
      <c r="B67" s="18" t="str">
        <f>Tabelas!T71</f>
        <v/>
      </c>
      <c r="C67" s="18" t="str">
        <f>Tabelas!U71</f>
        <v/>
      </c>
      <c r="D67" s="18" t="str">
        <f>Tabelas!V71</f>
        <v/>
      </c>
      <c r="E67" s="18" t="str">
        <f>Tabelas!W71</f>
        <v/>
      </c>
      <c r="F67" s="18" t="str">
        <f>Tabelas!X71</f>
        <v/>
      </c>
      <c r="G67" s="128" t="str">
        <f>Tabelas!Y71</f>
        <v/>
      </c>
      <c r="H67" s="128" t="str">
        <f>Tabelas!Z71</f>
        <v/>
      </c>
      <c r="I67" s="128" t="str">
        <f>Tabelas!AA71</f>
        <v/>
      </c>
      <c r="J67" s="18" t="str">
        <f>Tabelas!AB71</f>
        <v/>
      </c>
      <c r="K67" s="128" t="str">
        <f>Tabelas!AC71</f>
        <v/>
      </c>
      <c r="L67" s="128" t="str">
        <f>Tabelas!AD71</f>
        <v/>
      </c>
      <c r="M67" s="128" t="str">
        <f>Tabelas!AE71</f>
        <v/>
      </c>
      <c r="N67" s="34"/>
    </row>
    <row r="68" spans="1:14" ht="16" x14ac:dyDescent="0.2">
      <c r="A68" s="17" t="str">
        <f>Tabelas!S72</f>
        <v/>
      </c>
      <c r="B68" s="18" t="str">
        <f>Tabelas!T72</f>
        <v/>
      </c>
      <c r="C68" s="18" t="str">
        <f>Tabelas!U72</f>
        <v/>
      </c>
      <c r="D68" s="18" t="str">
        <f>Tabelas!V72</f>
        <v/>
      </c>
      <c r="E68" s="18" t="str">
        <f>Tabelas!W72</f>
        <v/>
      </c>
      <c r="F68" s="18" t="str">
        <f>Tabelas!X72</f>
        <v/>
      </c>
      <c r="G68" s="128" t="str">
        <f>Tabelas!Y72</f>
        <v/>
      </c>
      <c r="H68" s="128" t="str">
        <f>Tabelas!Z72</f>
        <v/>
      </c>
      <c r="I68" s="128" t="str">
        <f>Tabelas!AA72</f>
        <v/>
      </c>
      <c r="J68" s="18" t="str">
        <f>Tabelas!AB72</f>
        <v/>
      </c>
      <c r="K68" s="128" t="str">
        <f>Tabelas!AC72</f>
        <v/>
      </c>
      <c r="L68" s="128" t="str">
        <f>Tabelas!AD72</f>
        <v/>
      </c>
      <c r="M68" s="128" t="str">
        <f>Tabelas!AE72</f>
        <v/>
      </c>
      <c r="N68" s="34"/>
    </row>
    <row r="69" spans="1:14" ht="16" x14ac:dyDescent="0.2">
      <c r="A69" s="17" t="str">
        <f>Tabelas!S73</f>
        <v/>
      </c>
      <c r="B69" s="18" t="str">
        <f>Tabelas!T73</f>
        <v/>
      </c>
      <c r="C69" s="18" t="str">
        <f>Tabelas!U73</f>
        <v/>
      </c>
      <c r="D69" s="18" t="str">
        <f>Tabelas!V73</f>
        <v/>
      </c>
      <c r="E69" s="18" t="str">
        <f>Tabelas!W73</f>
        <v/>
      </c>
      <c r="F69" s="18" t="str">
        <f>Tabelas!X73</f>
        <v/>
      </c>
      <c r="G69" s="128" t="str">
        <f>Tabelas!Y73</f>
        <v/>
      </c>
      <c r="H69" s="128" t="str">
        <f>Tabelas!Z73</f>
        <v/>
      </c>
      <c r="I69" s="128" t="str">
        <f>Tabelas!AA73</f>
        <v/>
      </c>
      <c r="J69" s="18" t="str">
        <f>Tabelas!AB73</f>
        <v/>
      </c>
      <c r="K69" s="128" t="str">
        <f>Tabelas!AC73</f>
        <v/>
      </c>
      <c r="L69" s="128" t="str">
        <f>Tabelas!AD73</f>
        <v/>
      </c>
      <c r="M69" s="128" t="str">
        <f>Tabelas!AE73</f>
        <v/>
      </c>
      <c r="N69" s="34"/>
    </row>
    <row r="70" spans="1:14" ht="16" x14ac:dyDescent="0.2">
      <c r="A70" s="17" t="str">
        <f>Tabelas!S74</f>
        <v/>
      </c>
      <c r="B70" s="18" t="str">
        <f>Tabelas!T74</f>
        <v/>
      </c>
      <c r="C70" s="18" t="str">
        <f>Tabelas!U74</f>
        <v/>
      </c>
      <c r="D70" s="18" t="str">
        <f>Tabelas!V74</f>
        <v/>
      </c>
      <c r="E70" s="18" t="str">
        <f>Tabelas!W74</f>
        <v/>
      </c>
      <c r="F70" s="18" t="str">
        <f>Tabelas!X74</f>
        <v/>
      </c>
      <c r="G70" s="128" t="str">
        <f>Tabelas!Y74</f>
        <v/>
      </c>
      <c r="H70" s="128" t="str">
        <f>Tabelas!Z74</f>
        <v/>
      </c>
      <c r="I70" s="128" t="str">
        <f>Tabelas!AA74</f>
        <v/>
      </c>
      <c r="J70" s="18" t="str">
        <f>Tabelas!AB74</f>
        <v/>
      </c>
      <c r="K70" s="128" t="str">
        <f>Tabelas!AC74</f>
        <v/>
      </c>
      <c r="L70" s="128" t="str">
        <f>Tabelas!AD74</f>
        <v/>
      </c>
      <c r="M70" s="128" t="str">
        <f>Tabelas!AE74</f>
        <v/>
      </c>
      <c r="N70" s="34"/>
    </row>
    <row r="71" spans="1:14" ht="16" x14ac:dyDescent="0.2">
      <c r="A71" s="17" t="str">
        <f>Tabelas!S75</f>
        <v/>
      </c>
      <c r="B71" s="18" t="str">
        <f>Tabelas!T75</f>
        <v/>
      </c>
      <c r="C71" s="18" t="str">
        <f>Tabelas!U75</f>
        <v/>
      </c>
      <c r="D71" s="18" t="str">
        <f>Tabelas!V75</f>
        <v/>
      </c>
      <c r="E71" s="18" t="str">
        <f>Tabelas!W75</f>
        <v/>
      </c>
      <c r="F71" s="18" t="str">
        <f>Tabelas!X75</f>
        <v/>
      </c>
      <c r="G71" s="128" t="str">
        <f>Tabelas!Y75</f>
        <v/>
      </c>
      <c r="H71" s="128" t="str">
        <f>Tabelas!Z75</f>
        <v/>
      </c>
      <c r="I71" s="128" t="str">
        <f>Tabelas!AA75</f>
        <v/>
      </c>
      <c r="J71" s="18" t="str">
        <f>Tabelas!AB75</f>
        <v/>
      </c>
      <c r="K71" s="128" t="str">
        <f>Tabelas!AC75</f>
        <v/>
      </c>
      <c r="L71" s="128" t="str">
        <f>Tabelas!AD75</f>
        <v/>
      </c>
      <c r="M71" s="128" t="str">
        <f>Tabelas!AE75</f>
        <v/>
      </c>
      <c r="N71" s="34"/>
    </row>
    <row r="72" spans="1:14" ht="16" x14ac:dyDescent="0.2">
      <c r="A72" s="17" t="str">
        <f>Tabelas!S76</f>
        <v/>
      </c>
      <c r="B72" s="18" t="str">
        <f>Tabelas!T76</f>
        <v/>
      </c>
      <c r="C72" s="18" t="str">
        <f>Tabelas!U76</f>
        <v/>
      </c>
      <c r="D72" s="18" t="str">
        <f>Tabelas!V76</f>
        <v/>
      </c>
      <c r="E72" s="18" t="str">
        <f>Tabelas!W76</f>
        <v/>
      </c>
      <c r="F72" s="18" t="str">
        <f>Tabelas!X76</f>
        <v/>
      </c>
      <c r="G72" s="128" t="str">
        <f>Tabelas!Y76</f>
        <v/>
      </c>
      <c r="H72" s="128" t="str">
        <f>Tabelas!Z76</f>
        <v/>
      </c>
      <c r="I72" s="128" t="str">
        <f>Tabelas!AA76</f>
        <v/>
      </c>
      <c r="J72" s="18" t="str">
        <f>Tabelas!AB76</f>
        <v/>
      </c>
      <c r="K72" s="128" t="str">
        <f>Tabelas!AC76</f>
        <v/>
      </c>
      <c r="L72" s="128" t="str">
        <f>Tabelas!AD76</f>
        <v/>
      </c>
      <c r="M72" s="128" t="str">
        <f>Tabelas!AE76</f>
        <v/>
      </c>
      <c r="N72" s="34"/>
    </row>
    <row r="73" spans="1:14" ht="16" x14ac:dyDescent="0.2">
      <c r="A73" s="17" t="str">
        <f>Tabelas!S77</f>
        <v/>
      </c>
      <c r="B73" s="18" t="str">
        <f>Tabelas!T77</f>
        <v/>
      </c>
      <c r="C73" s="18" t="str">
        <f>Tabelas!U77</f>
        <v/>
      </c>
      <c r="D73" s="18" t="str">
        <f>Tabelas!V77</f>
        <v/>
      </c>
      <c r="E73" s="18" t="str">
        <f>Tabelas!W77</f>
        <v/>
      </c>
      <c r="F73" s="18" t="str">
        <f>Tabelas!X77</f>
        <v/>
      </c>
      <c r="G73" s="128" t="str">
        <f>Tabelas!Y77</f>
        <v/>
      </c>
      <c r="H73" s="128" t="str">
        <f>Tabelas!Z77</f>
        <v/>
      </c>
      <c r="I73" s="128" t="str">
        <f>Tabelas!AA77</f>
        <v/>
      </c>
      <c r="J73" s="18" t="str">
        <f>Tabelas!AB77</f>
        <v/>
      </c>
      <c r="K73" s="128" t="str">
        <f>Tabelas!AC77</f>
        <v/>
      </c>
      <c r="L73" s="128" t="str">
        <f>Tabelas!AD77</f>
        <v/>
      </c>
      <c r="M73" s="128" t="str">
        <f>Tabelas!AE77</f>
        <v/>
      </c>
      <c r="N73" s="34"/>
    </row>
    <row r="74" spans="1:14" ht="16" x14ac:dyDescent="0.2">
      <c r="A74" s="17" t="str">
        <f>Tabelas!S78</f>
        <v/>
      </c>
      <c r="B74" s="18" t="str">
        <f>Tabelas!T78</f>
        <v/>
      </c>
      <c r="C74" s="18" t="str">
        <f>Tabelas!U78</f>
        <v/>
      </c>
      <c r="D74" s="18" t="str">
        <f>Tabelas!V78</f>
        <v/>
      </c>
      <c r="E74" s="18" t="str">
        <f>Tabelas!W78</f>
        <v/>
      </c>
      <c r="F74" s="18" t="str">
        <f>Tabelas!X78</f>
        <v/>
      </c>
      <c r="G74" s="128" t="str">
        <f>Tabelas!Y78</f>
        <v/>
      </c>
      <c r="H74" s="128" t="str">
        <f>Tabelas!Z78</f>
        <v/>
      </c>
      <c r="I74" s="128" t="str">
        <f>Tabelas!AA78</f>
        <v/>
      </c>
      <c r="J74" s="18" t="str">
        <f>Tabelas!AB78</f>
        <v/>
      </c>
      <c r="K74" s="128" t="str">
        <f>Tabelas!AC78</f>
        <v/>
      </c>
      <c r="L74" s="128" t="str">
        <f>Tabelas!AD78</f>
        <v/>
      </c>
      <c r="M74" s="128" t="str">
        <f>Tabelas!AE78</f>
        <v/>
      </c>
      <c r="N74" s="34"/>
    </row>
    <row r="75" spans="1:14" ht="16" x14ac:dyDescent="0.2">
      <c r="A75" s="17" t="str">
        <f>Tabelas!S79</f>
        <v/>
      </c>
      <c r="B75" s="18" t="str">
        <f>Tabelas!T79</f>
        <v/>
      </c>
      <c r="C75" s="18" t="str">
        <f>Tabelas!U79</f>
        <v/>
      </c>
      <c r="D75" s="18" t="str">
        <f>Tabelas!V79</f>
        <v/>
      </c>
      <c r="E75" s="18" t="str">
        <f>Tabelas!W79</f>
        <v/>
      </c>
      <c r="F75" s="18" t="str">
        <f>Tabelas!X79</f>
        <v/>
      </c>
      <c r="G75" s="128" t="str">
        <f>Tabelas!Y79</f>
        <v/>
      </c>
      <c r="H75" s="128" t="str">
        <f>Tabelas!Z79</f>
        <v/>
      </c>
      <c r="I75" s="128" t="str">
        <f>Tabelas!AA79</f>
        <v/>
      </c>
      <c r="J75" s="18" t="str">
        <f>Tabelas!AB79</f>
        <v/>
      </c>
      <c r="K75" s="128" t="str">
        <f>Tabelas!AC79</f>
        <v/>
      </c>
      <c r="L75" s="128" t="str">
        <f>Tabelas!AD79</f>
        <v/>
      </c>
      <c r="M75" s="128" t="str">
        <f>Tabelas!AE79</f>
        <v/>
      </c>
      <c r="N75" s="34"/>
    </row>
    <row r="76" spans="1:14" ht="16" x14ac:dyDescent="0.2">
      <c r="A76" s="17" t="str">
        <f>Tabelas!S80</f>
        <v/>
      </c>
      <c r="B76" s="18" t="str">
        <f>Tabelas!T80</f>
        <v/>
      </c>
      <c r="C76" s="18" t="str">
        <f>Tabelas!U80</f>
        <v/>
      </c>
      <c r="D76" s="18" t="str">
        <f>Tabelas!V80</f>
        <v/>
      </c>
      <c r="E76" s="18" t="str">
        <f>Tabelas!W80</f>
        <v/>
      </c>
      <c r="F76" s="18" t="str">
        <f>Tabelas!X80</f>
        <v/>
      </c>
      <c r="G76" s="128" t="str">
        <f>Tabelas!Y80</f>
        <v/>
      </c>
      <c r="H76" s="128" t="str">
        <f>Tabelas!Z80</f>
        <v/>
      </c>
      <c r="I76" s="128" t="str">
        <f>Tabelas!AA80</f>
        <v/>
      </c>
      <c r="J76" s="18" t="str">
        <f>Tabelas!AB80</f>
        <v/>
      </c>
      <c r="K76" s="128" t="str">
        <f>Tabelas!AC80</f>
        <v/>
      </c>
      <c r="L76" s="128" t="str">
        <f>Tabelas!AD80</f>
        <v/>
      </c>
      <c r="M76" s="128" t="str">
        <f>Tabelas!AE80</f>
        <v/>
      </c>
      <c r="N76" s="34"/>
    </row>
    <row r="77" spans="1:14" ht="16" x14ac:dyDescent="0.2">
      <c r="A77" s="17" t="str">
        <f>Tabelas!S81</f>
        <v/>
      </c>
      <c r="B77" s="18" t="str">
        <f>Tabelas!T81</f>
        <v/>
      </c>
      <c r="C77" s="18" t="str">
        <f>Tabelas!U81</f>
        <v/>
      </c>
      <c r="D77" s="18" t="str">
        <f>Tabelas!V81</f>
        <v/>
      </c>
      <c r="E77" s="18" t="str">
        <f>Tabelas!W81</f>
        <v/>
      </c>
      <c r="F77" s="18" t="str">
        <f>Tabelas!X81</f>
        <v/>
      </c>
      <c r="G77" s="128" t="str">
        <f>Tabelas!Y81</f>
        <v/>
      </c>
      <c r="H77" s="128" t="str">
        <f>Tabelas!Z81</f>
        <v/>
      </c>
      <c r="I77" s="128" t="str">
        <f>Tabelas!AA81</f>
        <v/>
      </c>
      <c r="J77" s="18" t="str">
        <f>Tabelas!AB81</f>
        <v/>
      </c>
      <c r="K77" s="128" t="str">
        <f>Tabelas!AC81</f>
        <v/>
      </c>
      <c r="L77" s="128" t="str">
        <f>Tabelas!AD81</f>
        <v/>
      </c>
      <c r="M77" s="128" t="str">
        <f>Tabelas!AE81</f>
        <v/>
      </c>
      <c r="N77" s="34"/>
    </row>
    <row r="78" spans="1:14" ht="16" x14ac:dyDescent="0.2">
      <c r="A78" s="17" t="str">
        <f>Tabelas!S82</f>
        <v/>
      </c>
      <c r="B78" s="18" t="str">
        <f>Tabelas!T82</f>
        <v/>
      </c>
      <c r="C78" s="18" t="str">
        <f>Tabelas!U82</f>
        <v/>
      </c>
      <c r="D78" s="18" t="str">
        <f>Tabelas!V82</f>
        <v/>
      </c>
      <c r="E78" s="18" t="str">
        <f>Tabelas!W82</f>
        <v/>
      </c>
      <c r="F78" s="18" t="str">
        <f>Tabelas!X82</f>
        <v/>
      </c>
      <c r="G78" s="128" t="str">
        <f>Tabelas!Y82</f>
        <v/>
      </c>
      <c r="H78" s="128" t="str">
        <f>Tabelas!Z82</f>
        <v/>
      </c>
      <c r="I78" s="128" t="str">
        <f>Tabelas!AA82</f>
        <v/>
      </c>
      <c r="J78" s="18" t="str">
        <f>Tabelas!AB82</f>
        <v/>
      </c>
      <c r="K78" s="128" t="str">
        <f>Tabelas!AC82</f>
        <v/>
      </c>
      <c r="L78" s="128" t="str">
        <f>Tabelas!AD82</f>
        <v/>
      </c>
      <c r="M78" s="128" t="str">
        <f>Tabelas!AE82</f>
        <v/>
      </c>
      <c r="N78" s="34"/>
    </row>
    <row r="79" spans="1:14" ht="16" x14ac:dyDescent="0.2">
      <c r="A79" s="17" t="str">
        <f>Tabelas!S83</f>
        <v/>
      </c>
      <c r="B79" s="18" t="str">
        <f>Tabelas!T83</f>
        <v/>
      </c>
      <c r="C79" s="18" t="str">
        <f>Tabelas!U83</f>
        <v/>
      </c>
      <c r="D79" s="18" t="str">
        <f>Tabelas!V83</f>
        <v/>
      </c>
      <c r="E79" s="18" t="str">
        <f>Tabelas!W83</f>
        <v/>
      </c>
      <c r="F79" s="18" t="str">
        <f>Tabelas!X83</f>
        <v/>
      </c>
      <c r="G79" s="128" t="str">
        <f>Tabelas!Y83</f>
        <v/>
      </c>
      <c r="H79" s="128" t="str">
        <f>Tabelas!Z83</f>
        <v/>
      </c>
      <c r="I79" s="128" t="str">
        <f>Tabelas!AA83</f>
        <v/>
      </c>
      <c r="J79" s="18" t="str">
        <f>Tabelas!AB83</f>
        <v/>
      </c>
      <c r="K79" s="128" t="str">
        <f>Tabelas!AC83</f>
        <v/>
      </c>
      <c r="L79" s="128" t="str">
        <f>Tabelas!AD83</f>
        <v/>
      </c>
      <c r="M79" s="128" t="str">
        <f>Tabelas!AE83</f>
        <v/>
      </c>
      <c r="N79" s="34"/>
    </row>
    <row r="80" spans="1:14" ht="16" x14ac:dyDescent="0.2">
      <c r="A80" s="17" t="str">
        <f>Tabelas!S84</f>
        <v/>
      </c>
      <c r="B80" s="18" t="str">
        <f>Tabelas!T84</f>
        <v/>
      </c>
      <c r="C80" s="18" t="str">
        <f>Tabelas!U84</f>
        <v/>
      </c>
      <c r="D80" s="18" t="str">
        <f>Tabelas!V84</f>
        <v/>
      </c>
      <c r="E80" s="18" t="str">
        <f>Tabelas!W84</f>
        <v/>
      </c>
      <c r="F80" s="18" t="str">
        <f>Tabelas!X84</f>
        <v/>
      </c>
      <c r="G80" s="128" t="str">
        <f>Tabelas!Y84</f>
        <v/>
      </c>
      <c r="H80" s="128" t="str">
        <f>Tabelas!Z84</f>
        <v/>
      </c>
      <c r="I80" s="128" t="str">
        <f>Tabelas!AA84</f>
        <v/>
      </c>
      <c r="J80" s="18" t="str">
        <f>Tabelas!AB84</f>
        <v/>
      </c>
      <c r="K80" s="128" t="str">
        <f>Tabelas!AC84</f>
        <v/>
      </c>
      <c r="L80" s="128" t="str">
        <f>Tabelas!AD84</f>
        <v/>
      </c>
      <c r="M80" s="128" t="str">
        <f>Tabelas!AE84</f>
        <v/>
      </c>
      <c r="N80" s="34"/>
    </row>
    <row r="81" spans="1:14" ht="16" x14ac:dyDescent="0.2">
      <c r="A81" s="17" t="str">
        <f>Tabelas!S85</f>
        <v/>
      </c>
      <c r="B81" s="18" t="str">
        <f>Tabelas!T85</f>
        <v/>
      </c>
      <c r="C81" s="18" t="str">
        <f>Tabelas!U85</f>
        <v/>
      </c>
      <c r="D81" s="18" t="str">
        <f>Tabelas!V85</f>
        <v/>
      </c>
      <c r="E81" s="18" t="str">
        <f>Tabelas!W85</f>
        <v/>
      </c>
      <c r="F81" s="18" t="str">
        <f>Tabelas!X85</f>
        <v/>
      </c>
      <c r="G81" s="128" t="str">
        <f>Tabelas!Y85</f>
        <v/>
      </c>
      <c r="H81" s="128" t="str">
        <f>Tabelas!Z85</f>
        <v/>
      </c>
      <c r="I81" s="128" t="str">
        <f>Tabelas!AA85</f>
        <v/>
      </c>
      <c r="J81" s="18" t="str">
        <f>Tabelas!AB85</f>
        <v/>
      </c>
      <c r="K81" s="128" t="str">
        <f>Tabelas!AC85</f>
        <v/>
      </c>
      <c r="L81" s="128" t="str">
        <f>Tabelas!AD85</f>
        <v/>
      </c>
      <c r="M81" s="128" t="str">
        <f>Tabelas!AE85</f>
        <v/>
      </c>
      <c r="N81" s="34"/>
    </row>
    <row r="82" spans="1:14" ht="16" x14ac:dyDescent="0.2">
      <c r="A82" s="17" t="str">
        <f>Tabelas!S86</f>
        <v/>
      </c>
      <c r="B82" s="18" t="str">
        <f>Tabelas!T86</f>
        <v/>
      </c>
      <c r="C82" s="18" t="str">
        <f>Tabelas!U86</f>
        <v/>
      </c>
      <c r="D82" s="18" t="str">
        <f>Tabelas!V86</f>
        <v/>
      </c>
      <c r="E82" s="18" t="str">
        <f>Tabelas!W86</f>
        <v/>
      </c>
      <c r="F82" s="18" t="str">
        <f>Tabelas!X86</f>
        <v/>
      </c>
      <c r="G82" s="128" t="str">
        <f>Tabelas!Y86</f>
        <v/>
      </c>
      <c r="H82" s="128" t="str">
        <f>Tabelas!Z86</f>
        <v/>
      </c>
      <c r="I82" s="128" t="str">
        <f>Tabelas!AA86</f>
        <v/>
      </c>
      <c r="J82" s="18" t="str">
        <f>Tabelas!AB86</f>
        <v/>
      </c>
      <c r="K82" s="128" t="str">
        <f>Tabelas!AC86</f>
        <v/>
      </c>
      <c r="L82" s="128" t="str">
        <f>Tabelas!AD86</f>
        <v/>
      </c>
      <c r="M82" s="128" t="str">
        <f>Tabelas!AE86</f>
        <v/>
      </c>
      <c r="N82" s="34"/>
    </row>
    <row r="83" spans="1:14" ht="16" x14ac:dyDescent="0.2">
      <c r="A83" s="17" t="str">
        <f>Tabelas!S87</f>
        <v/>
      </c>
      <c r="B83" s="18" t="str">
        <f>Tabelas!T87</f>
        <v/>
      </c>
      <c r="C83" s="18" t="str">
        <f>Tabelas!U87</f>
        <v/>
      </c>
      <c r="D83" s="18" t="str">
        <f>Tabelas!V87</f>
        <v/>
      </c>
      <c r="E83" s="18" t="str">
        <f>Tabelas!W87</f>
        <v/>
      </c>
      <c r="F83" s="18" t="str">
        <f>Tabelas!X87</f>
        <v/>
      </c>
      <c r="G83" s="128" t="str">
        <f>Tabelas!Y87</f>
        <v/>
      </c>
      <c r="H83" s="128" t="str">
        <f>Tabelas!Z87</f>
        <v/>
      </c>
      <c r="I83" s="128" t="str">
        <f>Tabelas!AA87</f>
        <v/>
      </c>
      <c r="J83" s="18" t="str">
        <f>Tabelas!AB87</f>
        <v/>
      </c>
      <c r="K83" s="128" t="str">
        <f>Tabelas!AC87</f>
        <v/>
      </c>
      <c r="L83" s="128" t="str">
        <f>Tabelas!AD87</f>
        <v/>
      </c>
      <c r="M83" s="128" t="str">
        <f>Tabelas!AE87</f>
        <v/>
      </c>
      <c r="N83" s="34"/>
    </row>
    <row r="84" spans="1:14" ht="16" x14ac:dyDescent="0.2">
      <c r="A84" s="17" t="str">
        <f>Tabelas!S88</f>
        <v/>
      </c>
      <c r="B84" s="18" t="str">
        <f>Tabelas!T88</f>
        <v/>
      </c>
      <c r="C84" s="18" t="str">
        <f>Tabelas!U88</f>
        <v/>
      </c>
      <c r="D84" s="18" t="str">
        <f>Tabelas!V88</f>
        <v/>
      </c>
      <c r="E84" s="18" t="str">
        <f>Tabelas!W88</f>
        <v/>
      </c>
      <c r="F84" s="18" t="str">
        <f>Tabelas!X88</f>
        <v/>
      </c>
      <c r="G84" s="128" t="str">
        <f>Tabelas!Y88</f>
        <v/>
      </c>
      <c r="H84" s="128" t="str">
        <f>Tabelas!Z88</f>
        <v/>
      </c>
      <c r="I84" s="128" t="str">
        <f>Tabelas!AA88</f>
        <v/>
      </c>
      <c r="J84" s="18" t="str">
        <f>Tabelas!AB88</f>
        <v/>
      </c>
      <c r="K84" s="128" t="str">
        <f>Tabelas!AC88</f>
        <v/>
      </c>
      <c r="L84" s="128" t="str">
        <f>Tabelas!AD88</f>
        <v/>
      </c>
      <c r="M84" s="128" t="str">
        <f>Tabelas!AE88</f>
        <v/>
      </c>
      <c r="N84" s="34"/>
    </row>
    <row r="85" spans="1:14" ht="16" x14ac:dyDescent="0.2">
      <c r="A85" s="17" t="str">
        <f>Tabelas!S89</f>
        <v/>
      </c>
      <c r="B85" s="18" t="str">
        <f>Tabelas!T89</f>
        <v/>
      </c>
      <c r="C85" s="18" t="str">
        <f>Tabelas!U89</f>
        <v/>
      </c>
      <c r="D85" s="18" t="str">
        <f>Tabelas!V89</f>
        <v/>
      </c>
      <c r="E85" s="18" t="str">
        <f>Tabelas!W89</f>
        <v/>
      </c>
      <c r="F85" s="18" t="str">
        <f>Tabelas!X89</f>
        <v/>
      </c>
      <c r="G85" s="128" t="str">
        <f>Tabelas!Y89</f>
        <v/>
      </c>
      <c r="H85" s="128" t="str">
        <f>Tabelas!Z89</f>
        <v/>
      </c>
      <c r="I85" s="128" t="str">
        <f>Tabelas!AA89</f>
        <v/>
      </c>
      <c r="J85" s="18" t="str">
        <f>Tabelas!AB89</f>
        <v/>
      </c>
      <c r="K85" s="128" t="str">
        <f>Tabelas!AC89</f>
        <v/>
      </c>
      <c r="L85" s="128" t="str">
        <f>Tabelas!AD89</f>
        <v/>
      </c>
      <c r="M85" s="128" t="str">
        <f>Tabelas!AE89</f>
        <v/>
      </c>
      <c r="N85" s="34"/>
    </row>
    <row r="86" spans="1:14" ht="16" x14ac:dyDescent="0.2">
      <c r="A86" s="17" t="str">
        <f>Tabelas!S90</f>
        <v/>
      </c>
      <c r="B86" s="18" t="str">
        <f>Tabelas!T90</f>
        <v/>
      </c>
      <c r="C86" s="18" t="str">
        <f>Tabelas!U90</f>
        <v/>
      </c>
      <c r="D86" s="18" t="str">
        <f>Tabelas!V90</f>
        <v/>
      </c>
      <c r="E86" s="18" t="str">
        <f>Tabelas!W90</f>
        <v/>
      </c>
      <c r="F86" s="18" t="str">
        <f>Tabelas!X90</f>
        <v/>
      </c>
      <c r="G86" s="128" t="str">
        <f>Tabelas!Y90</f>
        <v/>
      </c>
      <c r="H86" s="128" t="str">
        <f>Tabelas!Z90</f>
        <v/>
      </c>
      <c r="I86" s="128" t="str">
        <f>Tabelas!AA90</f>
        <v/>
      </c>
      <c r="J86" s="18" t="str">
        <f>Tabelas!AB90</f>
        <v/>
      </c>
      <c r="K86" s="128" t="str">
        <f>Tabelas!AC90</f>
        <v/>
      </c>
      <c r="L86" s="128" t="str">
        <f>Tabelas!AD90</f>
        <v/>
      </c>
      <c r="M86" s="128" t="str">
        <f>Tabelas!AE90</f>
        <v/>
      </c>
      <c r="N86" s="34"/>
    </row>
    <row r="87" spans="1:14" ht="16" x14ac:dyDescent="0.2">
      <c r="A87" s="17" t="str">
        <f>Tabelas!S91</f>
        <v/>
      </c>
      <c r="B87" s="18" t="str">
        <f>Tabelas!T91</f>
        <v/>
      </c>
      <c r="C87" s="18" t="str">
        <f>Tabelas!U91</f>
        <v/>
      </c>
      <c r="D87" s="18" t="str">
        <f>Tabelas!V91</f>
        <v/>
      </c>
      <c r="E87" s="18" t="str">
        <f>Tabelas!W91</f>
        <v/>
      </c>
      <c r="F87" s="18" t="str">
        <f>Tabelas!X91</f>
        <v/>
      </c>
      <c r="G87" s="128" t="str">
        <f>Tabelas!Y91</f>
        <v/>
      </c>
      <c r="H87" s="128" t="str">
        <f>Tabelas!Z91</f>
        <v/>
      </c>
      <c r="I87" s="128" t="str">
        <f>Tabelas!AA91</f>
        <v/>
      </c>
      <c r="J87" s="18" t="str">
        <f>Tabelas!AB91</f>
        <v/>
      </c>
      <c r="K87" s="128" t="str">
        <f>Tabelas!AC91</f>
        <v/>
      </c>
      <c r="L87" s="128" t="str">
        <f>Tabelas!AD91</f>
        <v/>
      </c>
      <c r="M87" s="128" t="str">
        <f>Tabelas!AE91</f>
        <v/>
      </c>
      <c r="N87" s="34"/>
    </row>
    <row r="88" spans="1:14" ht="16" x14ac:dyDescent="0.2">
      <c r="A88" s="17" t="str">
        <f>Tabelas!S92</f>
        <v/>
      </c>
      <c r="B88" s="18" t="str">
        <f>Tabelas!T92</f>
        <v/>
      </c>
      <c r="C88" s="18" t="str">
        <f>Tabelas!U92</f>
        <v/>
      </c>
      <c r="D88" s="18" t="str">
        <f>Tabelas!V92</f>
        <v/>
      </c>
      <c r="E88" s="18" t="str">
        <f>Tabelas!W92</f>
        <v/>
      </c>
      <c r="F88" s="18" t="str">
        <f>Tabelas!X92</f>
        <v/>
      </c>
      <c r="G88" s="128" t="str">
        <f>Tabelas!Y92</f>
        <v/>
      </c>
      <c r="H88" s="128" t="str">
        <f>Tabelas!Z92</f>
        <v/>
      </c>
      <c r="I88" s="128" t="str">
        <f>Tabelas!AA92</f>
        <v/>
      </c>
      <c r="J88" s="18" t="str">
        <f>Tabelas!AB92</f>
        <v/>
      </c>
      <c r="K88" s="128" t="str">
        <f>Tabelas!AC92</f>
        <v/>
      </c>
      <c r="L88" s="128" t="str">
        <f>Tabelas!AD92</f>
        <v/>
      </c>
      <c r="M88" s="128" t="str">
        <f>Tabelas!AE92</f>
        <v/>
      </c>
      <c r="N88" s="34"/>
    </row>
    <row r="89" spans="1:14" ht="16" x14ac:dyDescent="0.2">
      <c r="A89" s="17" t="str">
        <f>Tabelas!S93</f>
        <v/>
      </c>
      <c r="B89" s="18" t="str">
        <f>Tabelas!T93</f>
        <v/>
      </c>
      <c r="C89" s="18" t="str">
        <f>Tabelas!U93</f>
        <v/>
      </c>
      <c r="D89" s="18" t="str">
        <f>Tabelas!V93</f>
        <v/>
      </c>
      <c r="E89" s="18" t="str">
        <f>Tabelas!W93</f>
        <v/>
      </c>
      <c r="F89" s="18" t="str">
        <f>Tabelas!X93</f>
        <v/>
      </c>
      <c r="G89" s="128" t="str">
        <f>Tabelas!Y93</f>
        <v/>
      </c>
      <c r="H89" s="128" t="str">
        <f>Tabelas!Z93</f>
        <v/>
      </c>
      <c r="I89" s="128" t="str">
        <f>Tabelas!AA93</f>
        <v/>
      </c>
      <c r="J89" s="18" t="str">
        <f>Tabelas!AB93</f>
        <v/>
      </c>
      <c r="K89" s="128" t="str">
        <f>Tabelas!AC93</f>
        <v/>
      </c>
      <c r="L89" s="128" t="str">
        <f>Tabelas!AD93</f>
        <v/>
      </c>
      <c r="M89" s="128" t="str">
        <f>Tabelas!AE93</f>
        <v/>
      </c>
      <c r="N89" s="34"/>
    </row>
    <row r="90" spans="1:14" ht="16" x14ac:dyDescent="0.2">
      <c r="A90" s="17" t="str">
        <f>Tabelas!S94</f>
        <v/>
      </c>
      <c r="B90" s="18" t="str">
        <f>Tabelas!T94</f>
        <v/>
      </c>
      <c r="C90" s="18" t="str">
        <f>Tabelas!U94</f>
        <v/>
      </c>
      <c r="D90" s="18" t="str">
        <f>Tabelas!V94</f>
        <v/>
      </c>
      <c r="E90" s="18" t="str">
        <f>Tabelas!W94</f>
        <v/>
      </c>
      <c r="F90" s="18" t="str">
        <f>Tabelas!X94</f>
        <v/>
      </c>
      <c r="G90" s="128" t="str">
        <f>Tabelas!Y94</f>
        <v/>
      </c>
      <c r="H90" s="128" t="str">
        <f>Tabelas!Z94</f>
        <v/>
      </c>
      <c r="I90" s="128" t="str">
        <f>Tabelas!AA94</f>
        <v/>
      </c>
      <c r="J90" s="18" t="str">
        <f>Tabelas!AB94</f>
        <v/>
      </c>
      <c r="K90" s="128" t="str">
        <f>Tabelas!AC94</f>
        <v/>
      </c>
      <c r="L90" s="128" t="str">
        <f>Tabelas!AD94</f>
        <v/>
      </c>
      <c r="M90" s="128" t="str">
        <f>Tabelas!AE94</f>
        <v/>
      </c>
      <c r="N90" s="34"/>
    </row>
    <row r="91" spans="1:14" ht="16" x14ac:dyDescent="0.2">
      <c r="A91" s="17" t="str">
        <f>Tabelas!S95</f>
        <v/>
      </c>
      <c r="B91" s="18" t="str">
        <f>Tabelas!T95</f>
        <v/>
      </c>
      <c r="C91" s="18" t="str">
        <f>Tabelas!U95</f>
        <v/>
      </c>
      <c r="D91" s="18" t="str">
        <f>Tabelas!V95</f>
        <v/>
      </c>
      <c r="E91" s="18" t="str">
        <f>Tabelas!W95</f>
        <v/>
      </c>
      <c r="F91" s="18" t="str">
        <f>Tabelas!X95</f>
        <v/>
      </c>
      <c r="G91" s="128" t="str">
        <f>Tabelas!Y95</f>
        <v/>
      </c>
      <c r="H91" s="128" t="str">
        <f>Tabelas!Z95</f>
        <v/>
      </c>
      <c r="I91" s="128" t="str">
        <f>Tabelas!AA95</f>
        <v/>
      </c>
      <c r="J91" s="18" t="str">
        <f>Tabelas!AB95</f>
        <v/>
      </c>
      <c r="K91" s="128" t="str">
        <f>Tabelas!AC95</f>
        <v/>
      </c>
      <c r="L91" s="128" t="str">
        <f>Tabelas!AD95</f>
        <v/>
      </c>
      <c r="M91" s="128" t="str">
        <f>Tabelas!AE95</f>
        <v/>
      </c>
      <c r="N91" s="34"/>
    </row>
    <row r="92" spans="1:14" ht="16" x14ac:dyDescent="0.2">
      <c r="A92" s="17" t="str">
        <f>Tabelas!S96</f>
        <v/>
      </c>
      <c r="B92" s="18" t="str">
        <f>Tabelas!T96</f>
        <v/>
      </c>
      <c r="C92" s="18" t="str">
        <f>Tabelas!U96</f>
        <v/>
      </c>
      <c r="D92" s="18" t="str">
        <f>Tabelas!V96</f>
        <v/>
      </c>
      <c r="E92" s="18" t="str">
        <f>Tabelas!W96</f>
        <v/>
      </c>
      <c r="F92" s="18" t="str">
        <f>Tabelas!X96</f>
        <v/>
      </c>
      <c r="G92" s="128" t="str">
        <f>Tabelas!Y96</f>
        <v/>
      </c>
      <c r="H92" s="128" t="str">
        <f>Tabelas!Z96</f>
        <v/>
      </c>
      <c r="I92" s="128" t="str">
        <f>Tabelas!AA96</f>
        <v/>
      </c>
      <c r="J92" s="18" t="str">
        <f>Tabelas!AB96</f>
        <v/>
      </c>
      <c r="K92" s="128" t="str">
        <f>Tabelas!AC96</f>
        <v/>
      </c>
      <c r="L92" s="128" t="str">
        <f>Tabelas!AD96</f>
        <v/>
      </c>
      <c r="M92" s="128" t="str">
        <f>Tabelas!AE96</f>
        <v/>
      </c>
      <c r="N92" s="34"/>
    </row>
    <row r="93" spans="1:14" ht="16" x14ac:dyDescent="0.2">
      <c r="A93" s="17" t="str">
        <f>Tabelas!S97</f>
        <v/>
      </c>
      <c r="B93" s="18" t="str">
        <f>Tabelas!T97</f>
        <v/>
      </c>
      <c r="C93" s="18" t="str">
        <f>Tabelas!U97</f>
        <v/>
      </c>
      <c r="D93" s="18" t="str">
        <f>Tabelas!V97</f>
        <v/>
      </c>
      <c r="E93" s="18" t="str">
        <f>Tabelas!W97</f>
        <v/>
      </c>
      <c r="F93" s="18" t="str">
        <f>Tabelas!X97</f>
        <v/>
      </c>
      <c r="G93" s="128" t="str">
        <f>Tabelas!Y97</f>
        <v/>
      </c>
      <c r="H93" s="128" t="str">
        <f>Tabelas!Z97</f>
        <v/>
      </c>
      <c r="I93" s="128" t="str">
        <f>Tabelas!AA97</f>
        <v/>
      </c>
      <c r="J93" s="18" t="str">
        <f>Tabelas!AB97</f>
        <v/>
      </c>
      <c r="K93" s="128" t="str">
        <f>Tabelas!AC97</f>
        <v/>
      </c>
      <c r="L93" s="128" t="str">
        <f>Tabelas!AD97</f>
        <v/>
      </c>
      <c r="M93" s="128" t="str">
        <f>Tabelas!AE97</f>
        <v/>
      </c>
      <c r="N93" s="34"/>
    </row>
    <row r="94" spans="1:14" ht="16" x14ac:dyDescent="0.2">
      <c r="A94" s="17" t="str">
        <f>Tabelas!S98</f>
        <v/>
      </c>
      <c r="B94" s="18" t="str">
        <f>Tabelas!T98</f>
        <v/>
      </c>
      <c r="C94" s="18" t="str">
        <f>Tabelas!U98</f>
        <v/>
      </c>
      <c r="D94" s="18" t="str">
        <f>Tabelas!V98</f>
        <v/>
      </c>
      <c r="E94" s="18" t="str">
        <f>Tabelas!W98</f>
        <v/>
      </c>
      <c r="F94" s="18" t="str">
        <f>Tabelas!X98</f>
        <v/>
      </c>
      <c r="G94" s="128" t="str">
        <f>Tabelas!Y98</f>
        <v/>
      </c>
      <c r="H94" s="128" t="str">
        <f>Tabelas!Z98</f>
        <v/>
      </c>
      <c r="I94" s="128" t="str">
        <f>Tabelas!AA98</f>
        <v/>
      </c>
      <c r="J94" s="18" t="str">
        <f>Tabelas!AB98</f>
        <v/>
      </c>
      <c r="K94" s="128" t="str">
        <f>Tabelas!AC98</f>
        <v/>
      </c>
      <c r="L94" s="128" t="str">
        <f>Tabelas!AD98</f>
        <v/>
      </c>
      <c r="M94" s="128" t="str">
        <f>Tabelas!AE98</f>
        <v/>
      </c>
      <c r="N94" s="34"/>
    </row>
    <row r="95" spans="1:14" ht="16" x14ac:dyDescent="0.2">
      <c r="A95" s="17" t="str">
        <f>Tabelas!S99</f>
        <v/>
      </c>
      <c r="B95" s="18" t="str">
        <f>Tabelas!T99</f>
        <v/>
      </c>
      <c r="C95" s="18" t="str">
        <f>Tabelas!U99</f>
        <v/>
      </c>
      <c r="D95" s="18" t="str">
        <f>Tabelas!V99</f>
        <v/>
      </c>
      <c r="E95" s="18" t="str">
        <f>Tabelas!W99</f>
        <v/>
      </c>
      <c r="F95" s="18" t="str">
        <f>Tabelas!X99</f>
        <v/>
      </c>
      <c r="G95" s="128" t="str">
        <f>Tabelas!Y99</f>
        <v/>
      </c>
      <c r="H95" s="128" t="str">
        <f>Tabelas!Z99</f>
        <v/>
      </c>
      <c r="I95" s="128" t="str">
        <f>Tabelas!AA99</f>
        <v/>
      </c>
      <c r="J95" s="18" t="str">
        <f>Tabelas!AB99</f>
        <v/>
      </c>
      <c r="K95" s="128" t="str">
        <f>Tabelas!AC99</f>
        <v/>
      </c>
      <c r="L95" s="128" t="str">
        <f>Tabelas!AD99</f>
        <v/>
      </c>
      <c r="M95" s="128" t="str">
        <f>Tabelas!AE99</f>
        <v/>
      </c>
      <c r="N95" s="34"/>
    </row>
    <row r="96" spans="1:14" ht="16" x14ac:dyDescent="0.2">
      <c r="A96" s="17" t="str">
        <f>Tabelas!S100</f>
        <v/>
      </c>
      <c r="B96" s="18" t="str">
        <f>Tabelas!T100</f>
        <v/>
      </c>
      <c r="C96" s="18" t="str">
        <f>Tabelas!U100</f>
        <v/>
      </c>
      <c r="D96" s="18" t="str">
        <f>Tabelas!V100</f>
        <v/>
      </c>
      <c r="E96" s="18" t="str">
        <f>Tabelas!W100</f>
        <v/>
      </c>
      <c r="F96" s="18" t="str">
        <f>Tabelas!X100</f>
        <v/>
      </c>
      <c r="G96" s="128" t="str">
        <f>Tabelas!Y100</f>
        <v/>
      </c>
      <c r="H96" s="128" t="str">
        <f>Tabelas!Z100</f>
        <v/>
      </c>
      <c r="I96" s="128" t="str">
        <f>Tabelas!AA100</f>
        <v/>
      </c>
      <c r="J96" s="18" t="str">
        <f>Tabelas!AB100</f>
        <v/>
      </c>
      <c r="K96" s="128" t="str">
        <f>Tabelas!AC100</f>
        <v/>
      </c>
      <c r="L96" s="128" t="str">
        <f>Tabelas!AD100</f>
        <v/>
      </c>
      <c r="M96" s="128" t="str">
        <f>Tabelas!AE100</f>
        <v/>
      </c>
      <c r="N96" s="34"/>
    </row>
    <row r="97" spans="1:14" ht="16" x14ac:dyDescent="0.2">
      <c r="A97" s="17" t="str">
        <f>Tabelas!S101</f>
        <v/>
      </c>
      <c r="B97" s="18" t="str">
        <f>Tabelas!T101</f>
        <v/>
      </c>
      <c r="C97" s="18" t="str">
        <f>Tabelas!U101</f>
        <v/>
      </c>
      <c r="D97" s="18" t="str">
        <f>Tabelas!V101</f>
        <v/>
      </c>
      <c r="E97" s="18" t="str">
        <f>Tabelas!W101</f>
        <v/>
      </c>
      <c r="F97" s="18" t="str">
        <f>Tabelas!X101</f>
        <v/>
      </c>
      <c r="G97" s="128" t="str">
        <f>Tabelas!Y101</f>
        <v/>
      </c>
      <c r="H97" s="128" t="str">
        <f>Tabelas!Z101</f>
        <v/>
      </c>
      <c r="I97" s="128" t="str">
        <f>Tabelas!AA101</f>
        <v/>
      </c>
      <c r="J97" s="18" t="str">
        <f>Tabelas!AB101</f>
        <v/>
      </c>
      <c r="K97" s="128" t="str">
        <f>Tabelas!AC101</f>
        <v/>
      </c>
      <c r="L97" s="128" t="str">
        <f>Tabelas!AD101</f>
        <v/>
      </c>
      <c r="M97" s="128" t="str">
        <f>Tabelas!AE101</f>
        <v/>
      </c>
      <c r="N97" s="34"/>
    </row>
    <row r="98" spans="1:14" ht="16" x14ac:dyDescent="0.2">
      <c r="A98" s="17" t="str">
        <f>Tabelas!S102</f>
        <v/>
      </c>
      <c r="B98" s="18" t="str">
        <f>Tabelas!T102</f>
        <v/>
      </c>
      <c r="C98" s="18" t="str">
        <f>Tabelas!U102</f>
        <v/>
      </c>
      <c r="D98" s="18" t="str">
        <f>Tabelas!V102</f>
        <v/>
      </c>
      <c r="E98" s="18" t="str">
        <f>Tabelas!W102</f>
        <v/>
      </c>
      <c r="F98" s="18" t="str">
        <f>Tabelas!X102</f>
        <v/>
      </c>
      <c r="G98" s="128" t="str">
        <f>Tabelas!Y102</f>
        <v/>
      </c>
      <c r="H98" s="128" t="str">
        <f>Tabelas!Z102</f>
        <v/>
      </c>
      <c r="I98" s="128" t="str">
        <f>Tabelas!AA102</f>
        <v/>
      </c>
      <c r="J98" s="18" t="str">
        <f>Tabelas!AB102</f>
        <v/>
      </c>
      <c r="K98" s="128" t="str">
        <f>Tabelas!AC102</f>
        <v/>
      </c>
      <c r="L98" s="128" t="str">
        <f>Tabelas!AD102</f>
        <v/>
      </c>
      <c r="M98" s="128" t="str">
        <f>Tabelas!AE102</f>
        <v/>
      </c>
      <c r="N98" s="34"/>
    </row>
    <row r="99" spans="1:14" ht="16" x14ac:dyDescent="0.2">
      <c r="A99" s="17" t="str">
        <f>Tabelas!S103</f>
        <v/>
      </c>
      <c r="B99" s="18" t="str">
        <f>Tabelas!T103</f>
        <v/>
      </c>
      <c r="C99" s="18" t="str">
        <f>Tabelas!U103</f>
        <v/>
      </c>
      <c r="D99" s="18" t="str">
        <f>Tabelas!V103</f>
        <v/>
      </c>
      <c r="E99" s="18" t="str">
        <f>Tabelas!W103</f>
        <v/>
      </c>
      <c r="F99" s="18" t="str">
        <f>Tabelas!X103</f>
        <v/>
      </c>
      <c r="G99" s="128" t="str">
        <f>Tabelas!Y103</f>
        <v/>
      </c>
      <c r="H99" s="128" t="str">
        <f>Tabelas!Z103</f>
        <v/>
      </c>
      <c r="I99" s="128" t="str">
        <f>Tabelas!AA103</f>
        <v/>
      </c>
      <c r="J99" s="18" t="str">
        <f>Tabelas!AB103</f>
        <v/>
      </c>
      <c r="K99" s="128" t="str">
        <f>Tabelas!AC103</f>
        <v/>
      </c>
      <c r="L99" s="128" t="str">
        <f>Tabelas!AD103</f>
        <v/>
      </c>
      <c r="M99" s="128" t="str">
        <f>Tabelas!AE103</f>
        <v/>
      </c>
      <c r="N99" s="34"/>
    </row>
    <row r="100" spans="1:14" ht="16" x14ac:dyDescent="0.2">
      <c r="A100" s="17" t="str">
        <f>Tabelas!S104</f>
        <v/>
      </c>
      <c r="B100" s="18" t="str">
        <f>Tabelas!T104</f>
        <v/>
      </c>
      <c r="C100" s="18" t="str">
        <f>Tabelas!U104</f>
        <v/>
      </c>
      <c r="D100" s="18" t="str">
        <f>Tabelas!V104</f>
        <v/>
      </c>
      <c r="E100" s="18" t="str">
        <f>Tabelas!W104</f>
        <v/>
      </c>
      <c r="F100" s="18" t="str">
        <f>Tabelas!X104</f>
        <v/>
      </c>
      <c r="G100" s="128" t="str">
        <f>Tabelas!Y104</f>
        <v/>
      </c>
      <c r="H100" s="128" t="str">
        <f>Tabelas!Z104</f>
        <v/>
      </c>
      <c r="I100" s="128" t="str">
        <f>Tabelas!AA104</f>
        <v/>
      </c>
      <c r="J100" s="18" t="str">
        <f>Tabelas!AB104</f>
        <v/>
      </c>
      <c r="K100" s="128" t="str">
        <f>Tabelas!AC104</f>
        <v/>
      </c>
      <c r="L100" s="128" t="str">
        <f>Tabelas!AD104</f>
        <v/>
      </c>
      <c r="M100" s="128" t="str">
        <f>Tabelas!AE104</f>
        <v/>
      </c>
      <c r="N100" s="34"/>
    </row>
    <row r="101" spans="1:14" ht="16" x14ac:dyDescent="0.2">
      <c r="A101" s="17" t="str">
        <f>Tabelas!S105</f>
        <v/>
      </c>
      <c r="B101" s="18" t="str">
        <f>Tabelas!T105</f>
        <v/>
      </c>
      <c r="C101" s="18" t="str">
        <f>Tabelas!U105</f>
        <v/>
      </c>
      <c r="D101" s="18" t="str">
        <f>Tabelas!V105</f>
        <v/>
      </c>
      <c r="E101" s="18" t="str">
        <f>Tabelas!W105</f>
        <v/>
      </c>
      <c r="F101" s="18" t="str">
        <f>Tabelas!X105</f>
        <v/>
      </c>
      <c r="G101" s="128" t="str">
        <f>Tabelas!Y105</f>
        <v/>
      </c>
      <c r="H101" s="128" t="str">
        <f>Tabelas!Z105</f>
        <v/>
      </c>
      <c r="I101" s="128" t="str">
        <f>Tabelas!AA105</f>
        <v/>
      </c>
      <c r="J101" s="18" t="str">
        <f>Tabelas!AB105</f>
        <v/>
      </c>
      <c r="K101" s="128" t="str">
        <f>Tabelas!AC105</f>
        <v/>
      </c>
      <c r="L101" s="128" t="str">
        <f>Tabelas!AD105</f>
        <v/>
      </c>
      <c r="M101" s="128" t="str">
        <f>Tabelas!AE105</f>
        <v/>
      </c>
      <c r="N101" s="34"/>
    </row>
    <row r="102" spans="1:14" ht="16" x14ac:dyDescent="0.2">
      <c r="A102" s="17" t="str">
        <f>Tabelas!S106</f>
        <v/>
      </c>
      <c r="B102" s="18" t="str">
        <f>Tabelas!T106</f>
        <v/>
      </c>
      <c r="C102" s="18" t="str">
        <f>Tabelas!U106</f>
        <v/>
      </c>
      <c r="D102" s="18" t="str">
        <f>Tabelas!V106</f>
        <v/>
      </c>
      <c r="E102" s="18" t="str">
        <f>Tabelas!W106</f>
        <v/>
      </c>
      <c r="F102" s="18" t="str">
        <f>Tabelas!X106</f>
        <v/>
      </c>
      <c r="G102" s="128" t="str">
        <f>Tabelas!Y106</f>
        <v/>
      </c>
      <c r="H102" s="128" t="str">
        <f>Tabelas!Z106</f>
        <v/>
      </c>
      <c r="I102" s="128" t="str">
        <f>Tabelas!AA106</f>
        <v/>
      </c>
      <c r="J102" s="18" t="str">
        <f>Tabelas!AB106</f>
        <v/>
      </c>
      <c r="K102" s="128" t="str">
        <f>Tabelas!AC106</f>
        <v/>
      </c>
      <c r="L102" s="128" t="str">
        <f>Tabelas!AD106</f>
        <v/>
      </c>
      <c r="M102" s="128" t="str">
        <f>Tabelas!AE106</f>
        <v/>
      </c>
      <c r="N102" s="34"/>
    </row>
    <row r="103" spans="1:14" ht="16" x14ac:dyDescent="0.2">
      <c r="A103" s="17" t="str">
        <f>Tabelas!S107</f>
        <v/>
      </c>
      <c r="B103" s="18" t="str">
        <f>Tabelas!T107</f>
        <v/>
      </c>
      <c r="C103" s="18" t="str">
        <f>Tabelas!U107</f>
        <v/>
      </c>
      <c r="D103" s="18" t="str">
        <f>Tabelas!V107</f>
        <v/>
      </c>
      <c r="E103" s="18" t="str">
        <f>Tabelas!W107</f>
        <v/>
      </c>
      <c r="F103" s="18" t="str">
        <f>Tabelas!X107</f>
        <v/>
      </c>
      <c r="G103" s="128" t="str">
        <f>Tabelas!Y107</f>
        <v/>
      </c>
      <c r="H103" s="128" t="str">
        <f>Tabelas!Z107</f>
        <v/>
      </c>
      <c r="I103" s="128" t="str">
        <f>Tabelas!AA107</f>
        <v/>
      </c>
      <c r="J103" s="18" t="str">
        <f>Tabelas!AB107</f>
        <v/>
      </c>
      <c r="K103" s="128" t="str">
        <f>Tabelas!AC107</f>
        <v/>
      </c>
      <c r="L103" s="128" t="str">
        <f>Tabelas!AD107</f>
        <v/>
      </c>
      <c r="M103" s="128" t="str">
        <f>Tabelas!AE107</f>
        <v/>
      </c>
      <c r="N103" s="34"/>
    </row>
    <row r="104" spans="1:14" ht="16" x14ac:dyDescent="0.2">
      <c r="A104" s="17" t="str">
        <f>Tabelas!S108</f>
        <v/>
      </c>
      <c r="B104" s="18" t="str">
        <f>Tabelas!T108</f>
        <v/>
      </c>
      <c r="C104" s="18" t="str">
        <f>Tabelas!U108</f>
        <v/>
      </c>
      <c r="D104" s="18" t="str">
        <f>Tabelas!V108</f>
        <v/>
      </c>
      <c r="E104" s="18" t="str">
        <f>Tabelas!W108</f>
        <v/>
      </c>
      <c r="F104" s="18" t="str">
        <f>Tabelas!X108</f>
        <v/>
      </c>
      <c r="G104" s="18" t="str">
        <f>Tabelas!Y108</f>
        <v/>
      </c>
      <c r="H104" s="18" t="str">
        <f>Tabelas!Z108</f>
        <v/>
      </c>
      <c r="I104" s="18" t="str">
        <f>Tabelas!AA108</f>
        <v/>
      </c>
      <c r="J104" s="18" t="str">
        <f>Tabelas!AB108</f>
        <v/>
      </c>
      <c r="K104" s="128" t="str">
        <f>Tabelas!AC108</f>
        <v/>
      </c>
      <c r="L104" s="128" t="str">
        <f>Tabelas!AD108</f>
        <v/>
      </c>
      <c r="M104" s="128" t="str">
        <f>Tabelas!AE108</f>
        <v/>
      </c>
      <c r="N104" s="34"/>
    </row>
    <row r="105" spans="1:14" ht="16" x14ac:dyDescent="0.2">
      <c r="A105" s="17" t="str">
        <f>Tabelas!S109</f>
        <v/>
      </c>
      <c r="B105" s="18" t="str">
        <f>Tabelas!T109</f>
        <v/>
      </c>
      <c r="C105" s="18" t="str">
        <f>Tabelas!U109</f>
        <v/>
      </c>
      <c r="D105" s="18" t="str">
        <f>Tabelas!V109</f>
        <v/>
      </c>
      <c r="E105" s="18" t="str">
        <f>Tabelas!W109</f>
        <v/>
      </c>
      <c r="F105" s="18" t="str">
        <f>Tabelas!X109</f>
        <v/>
      </c>
      <c r="G105" s="18" t="str">
        <f>Tabelas!Y109</f>
        <v/>
      </c>
      <c r="H105" s="18" t="str">
        <f>Tabelas!Z109</f>
        <v/>
      </c>
      <c r="I105" s="18" t="str">
        <f>Tabelas!AA109</f>
        <v/>
      </c>
      <c r="J105" s="18" t="str">
        <f>Tabelas!AB109</f>
        <v/>
      </c>
      <c r="K105" s="128" t="str">
        <f>Tabelas!AC109</f>
        <v/>
      </c>
      <c r="L105" s="128" t="str">
        <f>Tabelas!AD109</f>
        <v/>
      </c>
      <c r="M105" s="128" t="str">
        <f>Tabelas!AE109</f>
        <v/>
      </c>
      <c r="N105" s="34"/>
    </row>
    <row r="106" spans="1:14" ht="16" x14ac:dyDescent="0.2">
      <c r="A106" s="17" t="str">
        <f>Tabelas!S110</f>
        <v/>
      </c>
      <c r="B106" s="18" t="str">
        <f>Tabelas!T110</f>
        <v/>
      </c>
      <c r="C106" s="18" t="str">
        <f>Tabelas!U110</f>
        <v/>
      </c>
      <c r="D106" s="18" t="str">
        <f>Tabelas!V110</f>
        <v/>
      </c>
      <c r="E106" s="18" t="str">
        <f>Tabelas!W110</f>
        <v/>
      </c>
      <c r="F106" s="18" t="str">
        <f>Tabelas!X110</f>
        <v/>
      </c>
      <c r="G106" s="18" t="str">
        <f>Tabelas!Y110</f>
        <v/>
      </c>
      <c r="H106" s="18" t="str">
        <f>Tabelas!Z110</f>
        <v/>
      </c>
      <c r="I106" s="18" t="str">
        <f>Tabelas!AA110</f>
        <v/>
      </c>
      <c r="J106" s="18" t="str">
        <f>Tabelas!AB110</f>
        <v/>
      </c>
      <c r="K106" s="128" t="str">
        <f>Tabelas!AC110</f>
        <v/>
      </c>
      <c r="L106" s="128" t="str">
        <f>Tabelas!AD110</f>
        <v/>
      </c>
      <c r="M106" s="128" t="str">
        <f>Tabelas!AE110</f>
        <v/>
      </c>
      <c r="N106" s="34"/>
    </row>
    <row r="107" spans="1:14" ht="16" x14ac:dyDescent="0.2">
      <c r="A107" s="17" t="str">
        <f>Tabelas!S111</f>
        <v/>
      </c>
      <c r="B107" s="18" t="str">
        <f>Tabelas!T111</f>
        <v/>
      </c>
      <c r="C107" s="18" t="str">
        <f>Tabelas!U111</f>
        <v/>
      </c>
      <c r="D107" s="18" t="str">
        <f>Tabelas!V111</f>
        <v/>
      </c>
      <c r="E107" s="18" t="str">
        <f>Tabelas!W111</f>
        <v/>
      </c>
      <c r="F107" s="18" t="str">
        <f>Tabelas!X111</f>
        <v/>
      </c>
      <c r="G107" s="18" t="str">
        <f>Tabelas!Y111</f>
        <v/>
      </c>
      <c r="H107" s="18" t="str">
        <f>Tabelas!Z111</f>
        <v/>
      </c>
      <c r="I107" s="18" t="str">
        <f>Tabelas!AA111</f>
        <v/>
      </c>
      <c r="J107" s="18" t="str">
        <f>Tabelas!AB111</f>
        <v/>
      </c>
      <c r="K107" s="128" t="str">
        <f>Tabelas!AC111</f>
        <v/>
      </c>
      <c r="L107" s="128" t="str">
        <f>Tabelas!AD111</f>
        <v/>
      </c>
      <c r="M107" s="128" t="str">
        <f>Tabelas!AE111</f>
        <v/>
      </c>
      <c r="N107" s="34"/>
    </row>
    <row r="108" spans="1:14" ht="16" x14ac:dyDescent="0.2">
      <c r="A108" s="17" t="str">
        <f>Tabelas!S112</f>
        <v/>
      </c>
      <c r="B108" s="18" t="str">
        <f>Tabelas!T112</f>
        <v/>
      </c>
      <c r="C108" s="18" t="str">
        <f>Tabelas!U112</f>
        <v/>
      </c>
      <c r="D108" s="18" t="str">
        <f>Tabelas!V112</f>
        <v/>
      </c>
      <c r="E108" s="18" t="str">
        <f>Tabelas!W112</f>
        <v/>
      </c>
      <c r="F108" s="18" t="str">
        <f>Tabelas!X112</f>
        <v/>
      </c>
      <c r="G108" s="18" t="str">
        <f>Tabelas!Y112</f>
        <v/>
      </c>
      <c r="H108" s="18" t="str">
        <f>Tabelas!Z112</f>
        <v/>
      </c>
      <c r="I108" s="18" t="str">
        <f>Tabelas!AA112</f>
        <v/>
      </c>
      <c r="J108" s="18" t="str">
        <f>Tabelas!AB112</f>
        <v/>
      </c>
      <c r="K108" s="128" t="str">
        <f>Tabelas!AC112</f>
        <v/>
      </c>
      <c r="L108" s="128" t="str">
        <f>Tabelas!AD112</f>
        <v/>
      </c>
      <c r="M108" s="128" t="str">
        <f>Tabelas!AE112</f>
        <v/>
      </c>
      <c r="N108" s="34"/>
    </row>
    <row r="109" spans="1:14" ht="16" x14ac:dyDescent="0.2">
      <c r="A109" s="17" t="str">
        <f>Tabelas!S113</f>
        <v/>
      </c>
      <c r="B109" s="18" t="str">
        <f>Tabelas!T113</f>
        <v/>
      </c>
      <c r="C109" s="18" t="str">
        <f>Tabelas!U113</f>
        <v/>
      </c>
      <c r="D109" s="18" t="str">
        <f>Tabelas!V113</f>
        <v/>
      </c>
      <c r="E109" s="18" t="str">
        <f>Tabelas!W113</f>
        <v/>
      </c>
      <c r="F109" s="18" t="str">
        <f>Tabelas!X113</f>
        <v/>
      </c>
      <c r="G109" s="18" t="str">
        <f>Tabelas!Y113</f>
        <v/>
      </c>
      <c r="H109" s="18" t="str">
        <f>Tabelas!Z113</f>
        <v/>
      </c>
      <c r="I109" s="18" t="str">
        <f>Tabelas!AA113</f>
        <v/>
      </c>
      <c r="J109" s="18" t="str">
        <f>Tabelas!AB113</f>
        <v/>
      </c>
      <c r="K109" s="128" t="str">
        <f>Tabelas!AC113</f>
        <v/>
      </c>
      <c r="L109" s="128" t="str">
        <f>Tabelas!AD113</f>
        <v/>
      </c>
      <c r="M109" s="128" t="str">
        <f>Tabelas!AE113</f>
        <v/>
      </c>
      <c r="N109" s="34"/>
    </row>
    <row r="110" spans="1:14" ht="16" x14ac:dyDescent="0.2">
      <c r="A110" s="17" t="str">
        <f>Tabelas!S114</f>
        <v/>
      </c>
      <c r="B110" s="18" t="str">
        <f>Tabelas!T114</f>
        <v/>
      </c>
      <c r="C110" s="18" t="str">
        <f>Tabelas!U114</f>
        <v/>
      </c>
      <c r="D110" s="18" t="str">
        <f>Tabelas!V114</f>
        <v/>
      </c>
      <c r="E110" s="18" t="str">
        <f>Tabelas!W114</f>
        <v/>
      </c>
      <c r="F110" s="18" t="str">
        <f>Tabelas!X114</f>
        <v/>
      </c>
      <c r="G110" s="18" t="str">
        <f>Tabelas!Y114</f>
        <v/>
      </c>
      <c r="H110" s="18" t="str">
        <f>Tabelas!Z114</f>
        <v/>
      </c>
      <c r="I110" s="18" t="str">
        <f>Tabelas!AA114</f>
        <v/>
      </c>
      <c r="J110" s="18" t="str">
        <f>Tabelas!AB114</f>
        <v/>
      </c>
      <c r="K110" s="128" t="str">
        <f>Tabelas!AC114</f>
        <v/>
      </c>
      <c r="L110" s="128" t="str">
        <f>Tabelas!AD114</f>
        <v/>
      </c>
      <c r="M110" s="128" t="str">
        <f>Tabelas!AE114</f>
        <v/>
      </c>
      <c r="N110" s="34"/>
    </row>
    <row r="111" spans="1:14" ht="16" x14ac:dyDescent="0.2">
      <c r="A111" s="17" t="str">
        <f>Tabelas!S115</f>
        <v/>
      </c>
      <c r="B111" s="18" t="str">
        <f>Tabelas!T115</f>
        <v/>
      </c>
      <c r="C111" s="18" t="str">
        <f>Tabelas!U115</f>
        <v/>
      </c>
      <c r="D111" s="18" t="str">
        <f>Tabelas!V115</f>
        <v/>
      </c>
      <c r="E111" s="18" t="str">
        <f>Tabelas!W115</f>
        <v/>
      </c>
      <c r="F111" s="18" t="str">
        <f>Tabelas!X115</f>
        <v/>
      </c>
      <c r="G111" s="18" t="str">
        <f>Tabelas!Y115</f>
        <v/>
      </c>
      <c r="H111" s="18" t="str">
        <f>Tabelas!Z115</f>
        <v/>
      </c>
      <c r="I111" s="18" t="str">
        <f>Tabelas!AA115</f>
        <v/>
      </c>
      <c r="J111" s="18" t="str">
        <f>Tabelas!AB115</f>
        <v/>
      </c>
      <c r="K111" s="128" t="str">
        <f>Tabelas!AC115</f>
        <v/>
      </c>
      <c r="L111" s="128" t="str">
        <f>Tabelas!AD115</f>
        <v/>
      </c>
      <c r="M111" s="128" t="str">
        <f>Tabelas!AE115</f>
        <v/>
      </c>
      <c r="N111" s="34"/>
    </row>
    <row r="112" spans="1:14" ht="16" x14ac:dyDescent="0.2">
      <c r="A112" s="17" t="str">
        <f>Tabelas!S116</f>
        <v/>
      </c>
      <c r="B112" s="18" t="str">
        <f>Tabelas!T116</f>
        <v/>
      </c>
      <c r="C112" s="18" t="str">
        <f>Tabelas!U116</f>
        <v/>
      </c>
      <c r="D112" s="18" t="str">
        <f>Tabelas!V116</f>
        <v/>
      </c>
      <c r="E112" s="18" t="str">
        <f>Tabelas!W116</f>
        <v/>
      </c>
      <c r="F112" s="18" t="str">
        <f>Tabelas!X116</f>
        <v/>
      </c>
      <c r="G112" s="18" t="str">
        <f>Tabelas!Y116</f>
        <v/>
      </c>
      <c r="H112" s="18" t="str">
        <f>Tabelas!Z116</f>
        <v/>
      </c>
      <c r="I112" s="18" t="str">
        <f>Tabelas!AA116</f>
        <v/>
      </c>
      <c r="J112" s="18" t="str">
        <f>Tabelas!AB116</f>
        <v/>
      </c>
      <c r="K112" s="128" t="str">
        <f>Tabelas!AC116</f>
        <v/>
      </c>
      <c r="L112" s="128" t="str">
        <f>Tabelas!AD116</f>
        <v/>
      </c>
      <c r="M112" s="128" t="str">
        <f>Tabelas!AE116</f>
        <v/>
      </c>
      <c r="N112" s="34"/>
    </row>
    <row r="113" spans="1:14" ht="16" x14ac:dyDescent="0.2">
      <c r="A113" s="17" t="str">
        <f>Tabelas!S117</f>
        <v/>
      </c>
      <c r="B113" s="18" t="str">
        <f>Tabelas!T117</f>
        <v/>
      </c>
      <c r="C113" s="18" t="str">
        <f>Tabelas!U117</f>
        <v/>
      </c>
      <c r="D113" s="18" t="str">
        <f>Tabelas!V117</f>
        <v/>
      </c>
      <c r="E113" s="18" t="str">
        <f>Tabelas!W117</f>
        <v/>
      </c>
      <c r="F113" s="18" t="str">
        <f>Tabelas!X117</f>
        <v/>
      </c>
      <c r="G113" s="18" t="str">
        <f>Tabelas!Y117</f>
        <v/>
      </c>
      <c r="H113" s="18" t="str">
        <f>Tabelas!Z117</f>
        <v/>
      </c>
      <c r="I113" s="18" t="str">
        <f>Tabelas!AA117</f>
        <v/>
      </c>
      <c r="J113" s="18" t="str">
        <f>Tabelas!AB117</f>
        <v/>
      </c>
      <c r="K113" s="128" t="str">
        <f>Tabelas!AC117</f>
        <v/>
      </c>
      <c r="L113" s="128" t="str">
        <f>Tabelas!AD117</f>
        <v/>
      </c>
      <c r="M113" s="128" t="str">
        <f>Tabelas!AE117</f>
        <v/>
      </c>
      <c r="N113" s="34"/>
    </row>
    <row r="114" spans="1:14" ht="16" x14ac:dyDescent="0.2">
      <c r="A114" s="17" t="str">
        <f>Tabelas!S118</f>
        <v/>
      </c>
      <c r="B114" s="18" t="str">
        <f>Tabelas!T118</f>
        <v/>
      </c>
      <c r="C114" s="18" t="str">
        <f>Tabelas!U118</f>
        <v/>
      </c>
      <c r="D114" s="18" t="str">
        <f>Tabelas!V118</f>
        <v/>
      </c>
      <c r="E114" s="18" t="str">
        <f>Tabelas!W118</f>
        <v/>
      </c>
      <c r="F114" s="18" t="str">
        <f>Tabelas!X118</f>
        <v/>
      </c>
      <c r="G114" s="18" t="str">
        <f>Tabelas!Y118</f>
        <v/>
      </c>
      <c r="H114" s="18" t="str">
        <f>Tabelas!Z118</f>
        <v/>
      </c>
      <c r="I114" s="18" t="str">
        <f>Tabelas!AA118</f>
        <v/>
      </c>
      <c r="J114" s="18" t="str">
        <f>Tabelas!AB118</f>
        <v/>
      </c>
      <c r="K114" s="128" t="str">
        <f>Tabelas!AC118</f>
        <v/>
      </c>
      <c r="L114" s="128" t="str">
        <f>Tabelas!AD118</f>
        <v/>
      </c>
      <c r="M114" s="128" t="str">
        <f>Tabelas!AE118</f>
        <v/>
      </c>
      <c r="N114" s="34"/>
    </row>
    <row r="115" spans="1:14" ht="16" x14ac:dyDescent="0.2">
      <c r="A115" s="17" t="str">
        <f>Tabelas!S119</f>
        <v/>
      </c>
      <c r="B115" s="18" t="str">
        <f>Tabelas!T119</f>
        <v/>
      </c>
      <c r="C115" s="18" t="str">
        <f>Tabelas!U119</f>
        <v/>
      </c>
      <c r="D115" s="18" t="str">
        <f>Tabelas!V119</f>
        <v/>
      </c>
      <c r="E115" s="18" t="str">
        <f>Tabelas!W119</f>
        <v/>
      </c>
      <c r="F115" s="18" t="str">
        <f>Tabelas!X119</f>
        <v/>
      </c>
      <c r="G115" s="18" t="str">
        <f>Tabelas!Y119</f>
        <v/>
      </c>
      <c r="H115" s="18" t="str">
        <f>Tabelas!Z119</f>
        <v/>
      </c>
      <c r="I115" s="18" t="str">
        <f>Tabelas!AA119</f>
        <v/>
      </c>
      <c r="J115" s="18" t="str">
        <f>Tabelas!AB119</f>
        <v/>
      </c>
      <c r="K115" s="128" t="str">
        <f>Tabelas!AC119</f>
        <v/>
      </c>
      <c r="L115" s="128" t="str">
        <f>Tabelas!AD119</f>
        <v/>
      </c>
      <c r="M115" s="128" t="str">
        <f>Tabelas!AE119</f>
        <v/>
      </c>
      <c r="N115" s="34"/>
    </row>
    <row r="116" spans="1:14" ht="16" x14ac:dyDescent="0.2">
      <c r="A116" s="17" t="str">
        <f>Tabelas!S120</f>
        <v/>
      </c>
      <c r="B116" s="18" t="str">
        <f>Tabelas!T120</f>
        <v/>
      </c>
      <c r="C116" s="18" t="str">
        <f>Tabelas!U120</f>
        <v/>
      </c>
      <c r="D116" s="18" t="str">
        <f>Tabelas!V120</f>
        <v/>
      </c>
      <c r="E116" s="18" t="str">
        <f>Tabelas!W120</f>
        <v/>
      </c>
      <c r="F116" s="18" t="str">
        <f>Tabelas!X120</f>
        <v/>
      </c>
      <c r="G116" s="18" t="str">
        <f>Tabelas!Y120</f>
        <v/>
      </c>
      <c r="H116" s="18" t="str">
        <f>Tabelas!Z120</f>
        <v/>
      </c>
      <c r="I116" s="18" t="str">
        <f>Tabelas!AA120</f>
        <v/>
      </c>
      <c r="J116" s="18" t="str">
        <f>Tabelas!AB120</f>
        <v/>
      </c>
      <c r="K116" s="128" t="str">
        <f>Tabelas!AC120</f>
        <v/>
      </c>
      <c r="L116" s="128" t="str">
        <f>Tabelas!AD120</f>
        <v/>
      </c>
      <c r="M116" s="128" t="str">
        <f>Tabelas!AE120</f>
        <v/>
      </c>
      <c r="N116" s="34"/>
    </row>
    <row r="117" spans="1:14" ht="16" x14ac:dyDescent="0.2">
      <c r="A117" s="17" t="str">
        <f>Tabelas!S121</f>
        <v/>
      </c>
      <c r="B117" s="18" t="str">
        <f>Tabelas!T121</f>
        <v/>
      </c>
      <c r="C117" s="18" t="str">
        <f>Tabelas!U121</f>
        <v/>
      </c>
      <c r="D117" s="18" t="str">
        <f>Tabelas!V121</f>
        <v/>
      </c>
      <c r="E117" s="18" t="str">
        <f>Tabelas!W121</f>
        <v/>
      </c>
      <c r="F117" s="18" t="str">
        <f>Tabelas!X121</f>
        <v/>
      </c>
      <c r="G117" s="18" t="str">
        <f>Tabelas!Y121</f>
        <v/>
      </c>
      <c r="H117" s="18" t="str">
        <f>Tabelas!Z121</f>
        <v/>
      </c>
      <c r="I117" s="18" t="str">
        <f>Tabelas!AA121</f>
        <v/>
      </c>
      <c r="J117" s="18" t="str">
        <f>Tabelas!AB121</f>
        <v/>
      </c>
      <c r="K117" s="128" t="str">
        <f>Tabelas!AC121</f>
        <v/>
      </c>
      <c r="L117" s="128" t="str">
        <f>Tabelas!AD121</f>
        <v/>
      </c>
      <c r="M117" s="128" t="str">
        <f>Tabelas!AE121</f>
        <v/>
      </c>
      <c r="N117" s="34"/>
    </row>
    <row r="118" spans="1:14" ht="16" x14ac:dyDescent="0.2">
      <c r="A118" s="17" t="str">
        <f>Tabelas!S122</f>
        <v/>
      </c>
      <c r="B118" s="18" t="str">
        <f>Tabelas!T122</f>
        <v/>
      </c>
      <c r="C118" s="18" t="str">
        <f>Tabelas!U122</f>
        <v/>
      </c>
      <c r="D118" s="18" t="str">
        <f>Tabelas!V122</f>
        <v/>
      </c>
      <c r="E118" s="18" t="str">
        <f>Tabelas!W122</f>
        <v/>
      </c>
      <c r="F118" s="18" t="str">
        <f>Tabelas!X122</f>
        <v/>
      </c>
      <c r="G118" s="18" t="str">
        <f>Tabelas!Y122</f>
        <v/>
      </c>
      <c r="H118" s="18" t="str">
        <f>Tabelas!Z122</f>
        <v/>
      </c>
      <c r="I118" s="18" t="str">
        <f>Tabelas!AA122</f>
        <v/>
      </c>
      <c r="J118" s="18" t="str">
        <f>Tabelas!AB122</f>
        <v/>
      </c>
      <c r="K118" s="128" t="str">
        <f>Tabelas!AC122</f>
        <v/>
      </c>
      <c r="L118" s="128" t="str">
        <f>Tabelas!AD122</f>
        <v/>
      </c>
      <c r="M118" s="128" t="str">
        <f>Tabelas!AE122</f>
        <v/>
      </c>
      <c r="N118" s="34"/>
    </row>
    <row r="119" spans="1:14" ht="16" x14ac:dyDescent="0.2">
      <c r="A119" s="17" t="str">
        <f>Tabelas!S123</f>
        <v/>
      </c>
      <c r="B119" s="18" t="str">
        <f>Tabelas!T123</f>
        <v/>
      </c>
      <c r="C119" s="18" t="str">
        <f>Tabelas!U123</f>
        <v/>
      </c>
      <c r="D119" s="18" t="str">
        <f>Tabelas!V123</f>
        <v/>
      </c>
      <c r="E119" s="18" t="str">
        <f>Tabelas!W123</f>
        <v/>
      </c>
      <c r="F119" s="18" t="str">
        <f>Tabelas!X123</f>
        <v/>
      </c>
      <c r="G119" s="18" t="str">
        <f>Tabelas!Y123</f>
        <v/>
      </c>
      <c r="H119" s="18" t="str">
        <f>Tabelas!Z123</f>
        <v/>
      </c>
      <c r="I119" s="18" t="str">
        <f>Tabelas!AA123</f>
        <v/>
      </c>
      <c r="J119" s="18" t="str">
        <f>Tabelas!AB123</f>
        <v/>
      </c>
      <c r="K119" s="128" t="str">
        <f>Tabelas!AC123</f>
        <v/>
      </c>
      <c r="L119" s="128" t="str">
        <f>Tabelas!AD123</f>
        <v/>
      </c>
      <c r="M119" s="128" t="str">
        <f>Tabelas!AE123</f>
        <v/>
      </c>
      <c r="N119" s="34"/>
    </row>
    <row r="120" spans="1:14" ht="16" x14ac:dyDescent="0.2">
      <c r="A120" s="17" t="str">
        <f>Tabelas!S124</f>
        <v/>
      </c>
      <c r="B120" s="18" t="str">
        <f>Tabelas!T124</f>
        <v/>
      </c>
      <c r="C120" s="18" t="str">
        <f>Tabelas!U124</f>
        <v/>
      </c>
      <c r="D120" s="18" t="str">
        <f>Tabelas!V124</f>
        <v/>
      </c>
      <c r="E120" s="18" t="str">
        <f>Tabelas!W124</f>
        <v/>
      </c>
      <c r="F120" s="18" t="str">
        <f>Tabelas!X124</f>
        <v/>
      </c>
      <c r="G120" s="18" t="str">
        <f>Tabelas!Y124</f>
        <v/>
      </c>
      <c r="H120" s="18" t="str">
        <f>Tabelas!Z124</f>
        <v/>
      </c>
      <c r="I120" s="18" t="str">
        <f>Tabelas!AA124</f>
        <v/>
      </c>
      <c r="J120" s="18" t="str">
        <f>Tabelas!AB124</f>
        <v/>
      </c>
      <c r="K120" s="128" t="str">
        <f>Tabelas!AC124</f>
        <v/>
      </c>
      <c r="L120" s="128" t="str">
        <f>Tabelas!AD124</f>
        <v/>
      </c>
      <c r="M120" s="128" t="str">
        <f>Tabelas!AE124</f>
        <v/>
      </c>
      <c r="N120" s="34"/>
    </row>
    <row r="121" spans="1:14" ht="16" x14ac:dyDescent="0.2">
      <c r="A121" s="17" t="str">
        <f>Tabelas!S125</f>
        <v/>
      </c>
      <c r="B121" s="18" t="str">
        <f>Tabelas!T125</f>
        <v/>
      </c>
      <c r="C121" s="18" t="str">
        <f>Tabelas!U125</f>
        <v/>
      </c>
      <c r="D121" s="18" t="str">
        <f>Tabelas!V125</f>
        <v/>
      </c>
      <c r="E121" s="18" t="str">
        <f>Tabelas!W125</f>
        <v/>
      </c>
      <c r="F121" s="18" t="str">
        <f>Tabelas!X125</f>
        <v/>
      </c>
      <c r="G121" s="18" t="str">
        <f>Tabelas!Y125</f>
        <v/>
      </c>
      <c r="H121" s="18" t="str">
        <f>Tabelas!Z125</f>
        <v/>
      </c>
      <c r="I121" s="18" t="str">
        <f>Tabelas!AA125</f>
        <v/>
      </c>
      <c r="J121" s="18" t="str">
        <f>Tabelas!AB125</f>
        <v/>
      </c>
      <c r="K121" s="128" t="str">
        <f>Tabelas!AC125</f>
        <v/>
      </c>
      <c r="L121" s="128" t="str">
        <f>Tabelas!AD125</f>
        <v/>
      </c>
      <c r="M121" s="128" t="str">
        <f>Tabelas!AE125</f>
        <v/>
      </c>
      <c r="N121" s="34"/>
    </row>
    <row r="122" spans="1:14" ht="16" x14ac:dyDescent="0.2">
      <c r="A122" s="17" t="str">
        <f>Tabelas!S126</f>
        <v/>
      </c>
      <c r="B122" s="18" t="str">
        <f>Tabelas!T126</f>
        <v/>
      </c>
      <c r="C122" s="18" t="str">
        <f>Tabelas!U126</f>
        <v/>
      </c>
      <c r="D122" s="18" t="str">
        <f>Tabelas!V126</f>
        <v/>
      </c>
      <c r="E122" s="18" t="str">
        <f>Tabelas!W126</f>
        <v/>
      </c>
      <c r="F122" s="18" t="str">
        <f>Tabelas!X126</f>
        <v/>
      </c>
      <c r="G122" s="18" t="str">
        <f>Tabelas!Y126</f>
        <v/>
      </c>
      <c r="H122" s="18" t="str">
        <f>Tabelas!Z126</f>
        <v/>
      </c>
      <c r="I122" s="18" t="str">
        <f>Tabelas!AA126</f>
        <v/>
      </c>
      <c r="J122" s="18" t="str">
        <f>Tabelas!AB126</f>
        <v/>
      </c>
      <c r="K122" s="128" t="str">
        <f>Tabelas!AC126</f>
        <v/>
      </c>
      <c r="L122" s="128" t="str">
        <f>Tabelas!AD126</f>
        <v/>
      </c>
      <c r="M122" s="128" t="str">
        <f>Tabelas!AE126</f>
        <v/>
      </c>
      <c r="N122" s="34"/>
    </row>
    <row r="123" spans="1:14" ht="16" x14ac:dyDescent="0.2">
      <c r="A123" s="17" t="str">
        <f>Tabelas!S127</f>
        <v/>
      </c>
      <c r="B123" s="18" t="str">
        <f>Tabelas!T127</f>
        <v/>
      </c>
      <c r="C123" s="18" t="str">
        <f>Tabelas!U127</f>
        <v/>
      </c>
      <c r="D123" s="18" t="str">
        <f>Tabelas!V127</f>
        <v/>
      </c>
      <c r="E123" s="18" t="str">
        <f>Tabelas!W127</f>
        <v/>
      </c>
      <c r="F123" s="18" t="str">
        <f>Tabelas!X127</f>
        <v/>
      </c>
      <c r="G123" s="18" t="str">
        <f>Tabelas!Y127</f>
        <v/>
      </c>
      <c r="H123" s="18" t="str">
        <f>Tabelas!Z127</f>
        <v/>
      </c>
      <c r="I123" s="18" t="str">
        <f>Tabelas!AA127</f>
        <v/>
      </c>
      <c r="J123" s="18" t="str">
        <f>Tabelas!AB127</f>
        <v/>
      </c>
      <c r="K123" s="128" t="str">
        <f>Tabelas!AC127</f>
        <v/>
      </c>
      <c r="L123" s="128" t="str">
        <f>Tabelas!AD127</f>
        <v/>
      </c>
      <c r="M123" s="128" t="str">
        <f>Tabelas!AE127</f>
        <v/>
      </c>
      <c r="N123" s="34"/>
    </row>
    <row r="124" spans="1:14" ht="16" x14ac:dyDescent="0.2">
      <c r="A124" s="17" t="str">
        <f>Tabelas!S128</f>
        <v/>
      </c>
      <c r="B124" s="18" t="str">
        <f>Tabelas!T128</f>
        <v/>
      </c>
      <c r="C124" s="18" t="str">
        <f>Tabelas!U128</f>
        <v/>
      </c>
      <c r="D124" s="18" t="str">
        <f>Tabelas!V128</f>
        <v/>
      </c>
      <c r="E124" s="18" t="str">
        <f>Tabelas!W128</f>
        <v/>
      </c>
      <c r="F124" s="18" t="str">
        <f>Tabelas!X128</f>
        <v/>
      </c>
      <c r="G124" s="18" t="str">
        <f>Tabelas!Y128</f>
        <v/>
      </c>
      <c r="H124" s="18" t="str">
        <f>Tabelas!Z128</f>
        <v/>
      </c>
      <c r="I124" s="18" t="str">
        <f>Tabelas!AA128</f>
        <v/>
      </c>
      <c r="J124" s="18" t="str">
        <f>Tabelas!AB128</f>
        <v/>
      </c>
      <c r="K124" s="128" t="str">
        <f>Tabelas!AC128</f>
        <v/>
      </c>
      <c r="L124" s="128" t="str">
        <f>Tabelas!AD128</f>
        <v/>
      </c>
      <c r="M124" s="128" t="str">
        <f>Tabelas!AE128</f>
        <v/>
      </c>
      <c r="N124" s="34"/>
    </row>
    <row r="125" spans="1:14" ht="16" x14ac:dyDescent="0.2">
      <c r="A125" s="17" t="str">
        <f>Tabelas!S129</f>
        <v/>
      </c>
      <c r="B125" s="18" t="str">
        <f>Tabelas!T129</f>
        <v/>
      </c>
      <c r="C125" s="18" t="str">
        <f>Tabelas!U129</f>
        <v/>
      </c>
      <c r="D125" s="18" t="str">
        <f>Tabelas!V129</f>
        <v/>
      </c>
      <c r="E125" s="18" t="str">
        <f>Tabelas!W129</f>
        <v/>
      </c>
      <c r="F125" s="18" t="str">
        <f>Tabelas!X129</f>
        <v/>
      </c>
      <c r="G125" s="18" t="str">
        <f>Tabelas!Y129</f>
        <v/>
      </c>
      <c r="H125" s="18" t="str">
        <f>Tabelas!Z129</f>
        <v/>
      </c>
      <c r="I125" s="18" t="str">
        <f>Tabelas!AA129</f>
        <v/>
      </c>
      <c r="J125" s="18" t="str">
        <f>Tabelas!AB129</f>
        <v/>
      </c>
      <c r="K125" s="128" t="str">
        <f>Tabelas!AC129</f>
        <v/>
      </c>
      <c r="L125" s="128" t="str">
        <f>Tabelas!AD129</f>
        <v/>
      </c>
      <c r="M125" s="128" t="str">
        <f>Tabelas!AE129</f>
        <v/>
      </c>
      <c r="N125" s="34"/>
    </row>
    <row r="126" spans="1:14" ht="16" x14ac:dyDescent="0.2">
      <c r="A126" s="17" t="str">
        <f>Tabelas!S130</f>
        <v/>
      </c>
      <c r="B126" s="18" t="str">
        <f>Tabelas!T130</f>
        <v/>
      </c>
      <c r="C126" s="18" t="str">
        <f>Tabelas!U130</f>
        <v/>
      </c>
      <c r="D126" s="18" t="str">
        <f>Tabelas!V130</f>
        <v/>
      </c>
      <c r="E126" s="18" t="str">
        <f>Tabelas!W130</f>
        <v/>
      </c>
      <c r="F126" s="18" t="str">
        <f>Tabelas!X130</f>
        <v/>
      </c>
      <c r="G126" s="18" t="str">
        <f>Tabelas!Y130</f>
        <v/>
      </c>
      <c r="H126" s="18" t="str">
        <f>Tabelas!Z130</f>
        <v/>
      </c>
      <c r="I126" s="18" t="str">
        <f>Tabelas!AA130</f>
        <v/>
      </c>
      <c r="J126" s="18" t="str">
        <f>Tabelas!AB130</f>
        <v/>
      </c>
      <c r="K126" s="128" t="str">
        <f>Tabelas!AC130</f>
        <v/>
      </c>
      <c r="L126" s="128" t="str">
        <f>Tabelas!AD130</f>
        <v/>
      </c>
      <c r="M126" s="128" t="str">
        <f>Tabelas!AE130</f>
        <v/>
      </c>
      <c r="N126" s="34"/>
    </row>
    <row r="127" spans="1:14" ht="16" x14ac:dyDescent="0.2">
      <c r="A127" s="17" t="str">
        <f>Tabelas!S131</f>
        <v/>
      </c>
      <c r="B127" s="18" t="str">
        <f>Tabelas!T131</f>
        <v/>
      </c>
      <c r="C127" s="18" t="str">
        <f>Tabelas!U131</f>
        <v/>
      </c>
      <c r="D127" s="18" t="str">
        <f>Tabelas!V131</f>
        <v/>
      </c>
      <c r="E127" s="18" t="str">
        <f>Tabelas!W131</f>
        <v/>
      </c>
      <c r="F127" s="18" t="str">
        <f>Tabelas!X131</f>
        <v/>
      </c>
      <c r="G127" s="18" t="str">
        <f>Tabelas!Y131</f>
        <v/>
      </c>
      <c r="H127" s="18" t="str">
        <f>Tabelas!Z131</f>
        <v/>
      </c>
      <c r="I127" s="18" t="str">
        <f>Tabelas!AA131</f>
        <v/>
      </c>
      <c r="J127" s="18" t="str">
        <f>Tabelas!AB131</f>
        <v/>
      </c>
      <c r="K127" s="128" t="str">
        <f>Tabelas!AC131</f>
        <v/>
      </c>
      <c r="L127" s="128" t="str">
        <f>Tabelas!AD131</f>
        <v/>
      </c>
      <c r="M127" s="128" t="str">
        <f>Tabelas!AE131</f>
        <v/>
      </c>
      <c r="N127" s="34"/>
    </row>
    <row r="128" spans="1:14" ht="16" x14ac:dyDescent="0.2">
      <c r="A128" s="17" t="str">
        <f>Tabelas!S132</f>
        <v/>
      </c>
      <c r="B128" s="18" t="str">
        <f>Tabelas!T132</f>
        <v/>
      </c>
      <c r="C128" s="18" t="str">
        <f>Tabelas!U132</f>
        <v/>
      </c>
      <c r="D128" s="18" t="str">
        <f>Tabelas!V132</f>
        <v/>
      </c>
      <c r="E128" s="18" t="str">
        <f>Tabelas!W132</f>
        <v/>
      </c>
      <c r="F128" s="18" t="str">
        <f>Tabelas!X132</f>
        <v/>
      </c>
      <c r="G128" s="18" t="str">
        <f>Tabelas!Y132</f>
        <v/>
      </c>
      <c r="H128" s="18" t="str">
        <f>Tabelas!Z132</f>
        <v/>
      </c>
      <c r="I128" s="18" t="str">
        <f>Tabelas!AA132</f>
        <v/>
      </c>
      <c r="J128" s="18" t="str">
        <f>Tabelas!AB132</f>
        <v/>
      </c>
      <c r="K128" s="128" t="str">
        <f>Tabelas!AC132</f>
        <v/>
      </c>
      <c r="L128" s="128" t="str">
        <f>Tabelas!AD132</f>
        <v/>
      </c>
      <c r="M128" s="128" t="str">
        <f>Tabelas!AE132</f>
        <v/>
      </c>
      <c r="N128" s="34"/>
    </row>
    <row r="129" spans="1:14" ht="16" x14ac:dyDescent="0.2">
      <c r="A129" s="17" t="str">
        <f>Tabelas!S133</f>
        <v/>
      </c>
      <c r="B129" s="18" t="str">
        <f>Tabelas!T133</f>
        <v/>
      </c>
      <c r="C129" s="18" t="str">
        <f>Tabelas!U133</f>
        <v/>
      </c>
      <c r="D129" s="18" t="str">
        <f>Tabelas!V133</f>
        <v/>
      </c>
      <c r="E129" s="18" t="str">
        <f>Tabelas!W133</f>
        <v/>
      </c>
      <c r="F129" s="18" t="str">
        <f>Tabelas!X133</f>
        <v/>
      </c>
      <c r="G129" s="18" t="str">
        <f>Tabelas!Y133</f>
        <v/>
      </c>
      <c r="H129" s="18" t="str">
        <f>Tabelas!Z133</f>
        <v/>
      </c>
      <c r="I129" s="18" t="str">
        <f>Tabelas!AA133</f>
        <v/>
      </c>
      <c r="J129" s="18" t="str">
        <f>Tabelas!AB133</f>
        <v/>
      </c>
      <c r="K129" s="128" t="str">
        <f>Tabelas!AC133</f>
        <v/>
      </c>
      <c r="L129" s="128" t="str">
        <f>Tabelas!AD133</f>
        <v/>
      </c>
      <c r="M129" s="128" t="str">
        <f>Tabelas!AE133</f>
        <v/>
      </c>
      <c r="N129" s="34"/>
    </row>
    <row r="130" spans="1:14" ht="16" x14ac:dyDescent="0.2">
      <c r="A130" s="17" t="str">
        <f>Tabelas!S134</f>
        <v/>
      </c>
      <c r="B130" s="18" t="str">
        <f>Tabelas!T134</f>
        <v/>
      </c>
      <c r="C130" s="18" t="str">
        <f>Tabelas!U134</f>
        <v/>
      </c>
      <c r="D130" s="18" t="str">
        <f>Tabelas!V134</f>
        <v/>
      </c>
      <c r="E130" s="18" t="str">
        <f>Tabelas!W134</f>
        <v/>
      </c>
      <c r="F130" s="18" t="str">
        <f>Tabelas!X134</f>
        <v/>
      </c>
      <c r="G130" s="18" t="str">
        <f>Tabelas!Y134</f>
        <v/>
      </c>
      <c r="H130" s="18" t="str">
        <f>Tabelas!Z134</f>
        <v/>
      </c>
      <c r="I130" s="18" t="str">
        <f>Tabelas!AA134</f>
        <v/>
      </c>
      <c r="J130" s="18" t="str">
        <f>Tabelas!AB134</f>
        <v/>
      </c>
      <c r="K130" s="128" t="str">
        <f>Tabelas!AC134</f>
        <v/>
      </c>
      <c r="L130" s="128" t="str">
        <f>Tabelas!AD134</f>
        <v/>
      </c>
      <c r="M130" s="128" t="str">
        <f>Tabelas!AE134</f>
        <v/>
      </c>
      <c r="N130" s="34"/>
    </row>
    <row r="131" spans="1:14" ht="16" x14ac:dyDescent="0.2">
      <c r="A131" s="17" t="str">
        <f>Tabelas!S135</f>
        <v/>
      </c>
      <c r="B131" s="18" t="str">
        <f>Tabelas!T135</f>
        <v/>
      </c>
      <c r="C131" s="18" t="str">
        <f>Tabelas!U135</f>
        <v/>
      </c>
      <c r="D131" s="18" t="str">
        <f>Tabelas!V135</f>
        <v/>
      </c>
      <c r="E131" s="18" t="str">
        <f>Tabelas!W135</f>
        <v/>
      </c>
      <c r="F131" s="18" t="str">
        <f>Tabelas!X135</f>
        <v/>
      </c>
      <c r="G131" s="18" t="str">
        <f>Tabelas!Y135</f>
        <v/>
      </c>
      <c r="H131" s="18" t="str">
        <f>Tabelas!Z135</f>
        <v/>
      </c>
      <c r="I131" s="18" t="str">
        <f>Tabelas!AA135</f>
        <v/>
      </c>
      <c r="J131" s="18" t="str">
        <f>Tabelas!AB135</f>
        <v/>
      </c>
      <c r="K131" s="128" t="str">
        <f>Tabelas!AC135</f>
        <v/>
      </c>
      <c r="L131" s="128" t="str">
        <f>Tabelas!AD135</f>
        <v/>
      </c>
      <c r="M131" s="128" t="str">
        <f>Tabelas!AE135</f>
        <v/>
      </c>
      <c r="N131" s="34"/>
    </row>
    <row r="132" spans="1:14" ht="16" x14ac:dyDescent="0.2">
      <c r="A132" s="17" t="str">
        <f>Tabelas!S136</f>
        <v/>
      </c>
      <c r="B132" s="18" t="str">
        <f>Tabelas!T136</f>
        <v/>
      </c>
      <c r="C132" s="18" t="str">
        <f>Tabelas!U136</f>
        <v/>
      </c>
      <c r="D132" s="18" t="str">
        <f>Tabelas!V136</f>
        <v/>
      </c>
      <c r="E132" s="18" t="str">
        <f>Tabelas!W136</f>
        <v/>
      </c>
      <c r="F132" s="18" t="str">
        <f>Tabelas!X136</f>
        <v/>
      </c>
      <c r="G132" s="18" t="str">
        <f>Tabelas!Y136</f>
        <v/>
      </c>
      <c r="H132" s="18" t="str">
        <f>Tabelas!Z136</f>
        <v/>
      </c>
      <c r="I132" s="18" t="str">
        <f>Tabelas!AA136</f>
        <v/>
      </c>
      <c r="J132" s="18" t="str">
        <f>Tabelas!AB136</f>
        <v/>
      </c>
      <c r="K132" s="128" t="str">
        <f>Tabelas!AC136</f>
        <v/>
      </c>
      <c r="L132" s="128" t="str">
        <f>Tabelas!AD136</f>
        <v/>
      </c>
      <c r="M132" s="128" t="str">
        <f>Tabelas!AE136</f>
        <v/>
      </c>
      <c r="N132" s="34"/>
    </row>
    <row r="133" spans="1:14" ht="16" x14ac:dyDescent="0.2">
      <c r="A133" s="17" t="str">
        <f>Tabelas!S137</f>
        <v/>
      </c>
      <c r="B133" s="18" t="str">
        <f>Tabelas!T137</f>
        <v/>
      </c>
      <c r="C133" s="18" t="str">
        <f>Tabelas!U137</f>
        <v/>
      </c>
      <c r="D133" s="18" t="str">
        <f>Tabelas!V137</f>
        <v/>
      </c>
      <c r="E133" s="18" t="str">
        <f>Tabelas!W137</f>
        <v/>
      </c>
      <c r="F133" s="18" t="str">
        <f>Tabelas!X137</f>
        <v/>
      </c>
      <c r="G133" s="18" t="str">
        <f>Tabelas!Y137</f>
        <v/>
      </c>
      <c r="H133" s="18" t="str">
        <f>Tabelas!Z137</f>
        <v/>
      </c>
      <c r="I133" s="18" t="str">
        <f>Tabelas!AA137</f>
        <v/>
      </c>
      <c r="J133" s="18" t="str">
        <f>Tabelas!AB137</f>
        <v/>
      </c>
      <c r="K133" s="128" t="str">
        <f>Tabelas!AC137</f>
        <v/>
      </c>
      <c r="L133" s="128" t="str">
        <f>Tabelas!AD137</f>
        <v/>
      </c>
      <c r="M133" s="128" t="str">
        <f>Tabelas!AE137</f>
        <v/>
      </c>
      <c r="N133" s="34"/>
    </row>
    <row r="134" spans="1:14" ht="16" x14ac:dyDescent="0.2">
      <c r="A134" s="17" t="str">
        <f>Tabelas!S138</f>
        <v/>
      </c>
      <c r="B134" s="18" t="str">
        <f>Tabelas!T138</f>
        <v/>
      </c>
      <c r="C134" s="18" t="str">
        <f>Tabelas!U138</f>
        <v/>
      </c>
      <c r="D134" s="18" t="str">
        <f>Tabelas!V138</f>
        <v/>
      </c>
      <c r="E134" s="18" t="str">
        <f>Tabelas!W138</f>
        <v/>
      </c>
      <c r="F134" s="18" t="str">
        <f>Tabelas!X138</f>
        <v/>
      </c>
      <c r="G134" s="18" t="str">
        <f>Tabelas!Y138</f>
        <v/>
      </c>
      <c r="H134" s="18" t="str">
        <f>Tabelas!Z138</f>
        <v/>
      </c>
      <c r="I134" s="18" t="str">
        <f>Tabelas!AA138</f>
        <v/>
      </c>
      <c r="J134" s="18" t="str">
        <f>Tabelas!AB138</f>
        <v/>
      </c>
      <c r="K134" s="128" t="str">
        <f>Tabelas!AC138</f>
        <v/>
      </c>
      <c r="L134" s="128" t="str">
        <f>Tabelas!AD138</f>
        <v/>
      </c>
      <c r="M134" s="128" t="str">
        <f>Tabelas!AE138</f>
        <v/>
      </c>
      <c r="N134" s="34"/>
    </row>
    <row r="135" spans="1:14" ht="16" x14ac:dyDescent="0.2">
      <c r="A135" s="17" t="str">
        <f>Tabelas!S139</f>
        <v/>
      </c>
      <c r="B135" s="18" t="str">
        <f>Tabelas!T139</f>
        <v/>
      </c>
      <c r="C135" s="18" t="str">
        <f>Tabelas!U139</f>
        <v/>
      </c>
      <c r="D135" s="18" t="str">
        <f>Tabelas!V139</f>
        <v/>
      </c>
      <c r="E135" s="18" t="str">
        <f>Tabelas!W139</f>
        <v/>
      </c>
      <c r="F135" s="18" t="str">
        <f>Tabelas!X139</f>
        <v/>
      </c>
      <c r="G135" s="18" t="str">
        <f>Tabelas!Y139</f>
        <v/>
      </c>
      <c r="H135" s="18" t="str">
        <f>Tabelas!Z139</f>
        <v/>
      </c>
      <c r="I135" s="18" t="str">
        <f>Tabelas!AA139</f>
        <v/>
      </c>
      <c r="J135" s="18" t="str">
        <f>Tabelas!AB139</f>
        <v/>
      </c>
      <c r="K135" s="128" t="str">
        <f>Tabelas!AC139</f>
        <v/>
      </c>
      <c r="L135" s="128" t="str">
        <f>Tabelas!AD139</f>
        <v/>
      </c>
      <c r="M135" s="128" t="str">
        <f>Tabelas!AE139</f>
        <v/>
      </c>
      <c r="N135" s="34"/>
    </row>
    <row r="136" spans="1:14" ht="16" x14ac:dyDescent="0.2">
      <c r="A136" s="17" t="str">
        <f>Tabelas!S140</f>
        <v/>
      </c>
      <c r="B136" s="18" t="str">
        <f>Tabelas!T140</f>
        <v/>
      </c>
      <c r="C136" s="18" t="str">
        <f>Tabelas!U140</f>
        <v/>
      </c>
      <c r="D136" s="18" t="str">
        <f>Tabelas!V140</f>
        <v/>
      </c>
      <c r="E136" s="18" t="str">
        <f>Tabelas!W140</f>
        <v/>
      </c>
      <c r="F136" s="18" t="str">
        <f>Tabelas!X140</f>
        <v/>
      </c>
      <c r="G136" s="18" t="str">
        <f>Tabelas!Y140</f>
        <v/>
      </c>
      <c r="H136" s="18" t="str">
        <f>Tabelas!Z140</f>
        <v/>
      </c>
      <c r="I136" s="18" t="str">
        <f>Tabelas!AA140</f>
        <v/>
      </c>
      <c r="J136" s="18" t="str">
        <f>Tabelas!AB140</f>
        <v/>
      </c>
      <c r="K136" s="128" t="str">
        <f>Tabelas!AC140</f>
        <v/>
      </c>
      <c r="L136" s="128" t="str">
        <f>Tabelas!AD140</f>
        <v/>
      </c>
      <c r="M136" s="128" t="str">
        <f>Tabelas!AE140</f>
        <v/>
      </c>
      <c r="N136" s="34"/>
    </row>
    <row r="137" spans="1:14" ht="16" x14ac:dyDescent="0.2">
      <c r="A137" s="17" t="str">
        <f>Tabelas!S141</f>
        <v/>
      </c>
      <c r="B137" s="18" t="str">
        <f>Tabelas!T141</f>
        <v/>
      </c>
      <c r="C137" s="18" t="str">
        <f>Tabelas!U141</f>
        <v/>
      </c>
      <c r="D137" s="18" t="str">
        <f>Tabelas!V141</f>
        <v/>
      </c>
      <c r="E137" s="18" t="str">
        <f>Tabelas!W141</f>
        <v/>
      </c>
      <c r="F137" s="18" t="str">
        <f>Tabelas!X141</f>
        <v/>
      </c>
      <c r="G137" s="18" t="str">
        <f>Tabelas!Y141</f>
        <v/>
      </c>
      <c r="H137" s="18" t="str">
        <f>Tabelas!Z141</f>
        <v/>
      </c>
      <c r="I137" s="18" t="str">
        <f>Tabelas!AA141</f>
        <v/>
      </c>
      <c r="J137" s="18" t="str">
        <f>Tabelas!AB141</f>
        <v/>
      </c>
      <c r="K137" s="128" t="str">
        <f>Tabelas!AC141</f>
        <v/>
      </c>
      <c r="L137" s="128" t="str">
        <f>Tabelas!AD141</f>
        <v/>
      </c>
      <c r="M137" s="128" t="str">
        <f>Tabelas!AE141</f>
        <v/>
      </c>
      <c r="N137" s="34"/>
    </row>
    <row r="138" spans="1:14" ht="16" x14ac:dyDescent="0.2">
      <c r="A138" s="17" t="str">
        <f>Tabelas!S142</f>
        <v/>
      </c>
      <c r="B138" s="18" t="str">
        <f>Tabelas!T142</f>
        <v/>
      </c>
      <c r="C138" s="18" t="str">
        <f>Tabelas!U142</f>
        <v/>
      </c>
      <c r="D138" s="18" t="str">
        <f>Tabelas!V142</f>
        <v/>
      </c>
      <c r="E138" s="18" t="str">
        <f>Tabelas!W142</f>
        <v/>
      </c>
      <c r="F138" s="18" t="str">
        <f>Tabelas!X142</f>
        <v/>
      </c>
      <c r="G138" s="18" t="str">
        <f>Tabelas!Y142</f>
        <v/>
      </c>
      <c r="H138" s="18" t="str">
        <f>Tabelas!Z142</f>
        <v/>
      </c>
      <c r="I138" s="18" t="str">
        <f>Tabelas!AA142</f>
        <v/>
      </c>
      <c r="J138" s="18" t="str">
        <f>Tabelas!AB142</f>
        <v/>
      </c>
      <c r="K138" s="128" t="str">
        <f>Tabelas!AC142</f>
        <v/>
      </c>
      <c r="L138" s="128" t="str">
        <f>Tabelas!AD142</f>
        <v/>
      </c>
      <c r="M138" s="128" t="str">
        <f>Tabelas!AE142</f>
        <v/>
      </c>
      <c r="N138" s="34"/>
    </row>
    <row r="139" spans="1:14" ht="16" x14ac:dyDescent="0.2">
      <c r="A139" s="17" t="str">
        <f>Tabelas!S143</f>
        <v/>
      </c>
      <c r="B139" s="18" t="str">
        <f>Tabelas!T143</f>
        <v/>
      </c>
      <c r="C139" s="18" t="str">
        <f>Tabelas!U143</f>
        <v/>
      </c>
      <c r="D139" s="18" t="str">
        <f>Tabelas!V143</f>
        <v/>
      </c>
      <c r="E139" s="18" t="str">
        <f>Tabelas!W143</f>
        <v/>
      </c>
      <c r="F139" s="18" t="str">
        <f>Tabelas!X143</f>
        <v/>
      </c>
      <c r="G139" s="18" t="str">
        <f>Tabelas!Y143</f>
        <v/>
      </c>
      <c r="H139" s="18" t="str">
        <f>Tabelas!Z143</f>
        <v/>
      </c>
      <c r="I139" s="18" t="str">
        <f>Tabelas!AA143</f>
        <v/>
      </c>
      <c r="J139" s="18" t="str">
        <f>Tabelas!AB143</f>
        <v/>
      </c>
      <c r="K139" s="128" t="str">
        <f>Tabelas!AC143</f>
        <v/>
      </c>
      <c r="L139" s="128" t="str">
        <f>Tabelas!AD143</f>
        <v/>
      </c>
      <c r="M139" s="128" t="str">
        <f>Tabelas!AE143</f>
        <v/>
      </c>
      <c r="N139" s="34"/>
    </row>
    <row r="140" spans="1:14" ht="16" x14ac:dyDescent="0.2">
      <c r="A140" s="17" t="str">
        <f>Tabelas!S144</f>
        <v/>
      </c>
      <c r="B140" s="18" t="str">
        <f>Tabelas!T144</f>
        <v/>
      </c>
      <c r="C140" s="18" t="str">
        <f>Tabelas!U144</f>
        <v/>
      </c>
      <c r="D140" s="18" t="str">
        <f>Tabelas!V144</f>
        <v/>
      </c>
      <c r="E140" s="18" t="str">
        <f>Tabelas!W144</f>
        <v/>
      </c>
      <c r="F140" s="18" t="str">
        <f>Tabelas!X144</f>
        <v/>
      </c>
      <c r="G140" s="18" t="str">
        <f>Tabelas!Y144</f>
        <v/>
      </c>
      <c r="H140" s="18" t="str">
        <f>Tabelas!Z144</f>
        <v/>
      </c>
      <c r="I140" s="18" t="str">
        <f>Tabelas!AA144</f>
        <v/>
      </c>
      <c r="J140" s="18" t="str">
        <f>Tabelas!AB144</f>
        <v/>
      </c>
      <c r="K140" s="128" t="str">
        <f>Tabelas!AC144</f>
        <v/>
      </c>
      <c r="L140" s="128" t="str">
        <f>Tabelas!AD144</f>
        <v/>
      </c>
      <c r="M140" s="128" t="str">
        <f>Tabelas!AE144</f>
        <v/>
      </c>
      <c r="N140" s="34"/>
    </row>
    <row r="141" spans="1:14" ht="16" x14ac:dyDescent="0.2">
      <c r="A141" s="17" t="str">
        <f>Tabelas!S145</f>
        <v/>
      </c>
      <c r="B141" s="18" t="str">
        <f>Tabelas!T145</f>
        <v/>
      </c>
      <c r="C141" s="18" t="str">
        <f>Tabelas!U145</f>
        <v/>
      </c>
      <c r="D141" s="18" t="str">
        <f>Tabelas!V145</f>
        <v/>
      </c>
      <c r="E141" s="18" t="str">
        <f>Tabelas!W145</f>
        <v/>
      </c>
      <c r="F141" s="18" t="str">
        <f>Tabelas!X145</f>
        <v/>
      </c>
      <c r="G141" s="18" t="str">
        <f>Tabelas!Y145</f>
        <v/>
      </c>
      <c r="H141" s="18" t="str">
        <f>Tabelas!Z145</f>
        <v/>
      </c>
      <c r="I141" s="18" t="str">
        <f>Tabelas!AA145</f>
        <v/>
      </c>
      <c r="J141" s="18" t="str">
        <f>Tabelas!AB145</f>
        <v/>
      </c>
      <c r="K141" s="128" t="str">
        <f>Tabelas!AC145</f>
        <v/>
      </c>
      <c r="L141" s="128" t="str">
        <f>Tabelas!AD145</f>
        <v/>
      </c>
      <c r="M141" s="128" t="str">
        <f>Tabelas!AE145</f>
        <v/>
      </c>
      <c r="N141" s="34"/>
    </row>
    <row r="142" spans="1:14" ht="16" x14ac:dyDescent="0.2">
      <c r="A142" s="17" t="str">
        <f>Tabelas!S146</f>
        <v/>
      </c>
      <c r="B142" s="18" t="str">
        <f>Tabelas!T146</f>
        <v/>
      </c>
      <c r="C142" s="18" t="str">
        <f>Tabelas!U146</f>
        <v/>
      </c>
      <c r="D142" s="18" t="str">
        <f>Tabelas!V146</f>
        <v/>
      </c>
      <c r="E142" s="18" t="str">
        <f>Tabelas!W146</f>
        <v/>
      </c>
      <c r="F142" s="18" t="str">
        <f>Tabelas!X146</f>
        <v/>
      </c>
      <c r="G142" s="18" t="str">
        <f>Tabelas!Y146</f>
        <v/>
      </c>
      <c r="H142" s="18" t="str">
        <f>Tabelas!Z146</f>
        <v/>
      </c>
      <c r="I142" s="18" t="str">
        <f>Tabelas!AA146</f>
        <v/>
      </c>
      <c r="J142" s="18" t="str">
        <f>Tabelas!AB146</f>
        <v/>
      </c>
      <c r="K142" s="128" t="str">
        <f>Tabelas!AC146</f>
        <v/>
      </c>
      <c r="L142" s="128" t="str">
        <f>Tabelas!AD146</f>
        <v/>
      </c>
      <c r="M142" s="128" t="str">
        <f>Tabelas!AE146</f>
        <v/>
      </c>
      <c r="N142" s="34"/>
    </row>
    <row r="143" spans="1:14" ht="16" x14ac:dyDescent="0.2">
      <c r="A143" s="17" t="str">
        <f>Tabelas!S147</f>
        <v/>
      </c>
      <c r="B143" s="18" t="str">
        <f>Tabelas!T147</f>
        <v/>
      </c>
      <c r="C143" s="18" t="str">
        <f>Tabelas!U147</f>
        <v/>
      </c>
      <c r="D143" s="18" t="str">
        <f>Tabelas!V147</f>
        <v/>
      </c>
      <c r="E143" s="18" t="str">
        <f>Tabelas!W147</f>
        <v/>
      </c>
      <c r="F143" s="18" t="str">
        <f>Tabelas!X147</f>
        <v/>
      </c>
      <c r="G143" s="18" t="str">
        <f>Tabelas!Y147</f>
        <v/>
      </c>
      <c r="H143" s="18" t="str">
        <f>Tabelas!Z147</f>
        <v/>
      </c>
      <c r="I143" s="18" t="str">
        <f>Tabelas!AA147</f>
        <v/>
      </c>
      <c r="J143" s="18" t="str">
        <f>Tabelas!AB147</f>
        <v/>
      </c>
      <c r="K143" s="128" t="str">
        <f>Tabelas!AC147</f>
        <v/>
      </c>
      <c r="L143" s="128" t="str">
        <f>Tabelas!AD147</f>
        <v/>
      </c>
      <c r="M143" s="128" t="str">
        <f>Tabelas!AE147</f>
        <v/>
      </c>
      <c r="N143" s="34"/>
    </row>
    <row r="144" spans="1:14" ht="16" x14ac:dyDescent="0.2">
      <c r="A144" s="17" t="str">
        <f>Tabelas!S148</f>
        <v/>
      </c>
      <c r="B144" s="18" t="str">
        <f>Tabelas!T148</f>
        <v/>
      </c>
      <c r="C144" s="18" t="str">
        <f>Tabelas!U148</f>
        <v/>
      </c>
      <c r="D144" s="18" t="str">
        <f>Tabelas!V148</f>
        <v/>
      </c>
      <c r="E144" s="18" t="str">
        <f>Tabelas!W148</f>
        <v/>
      </c>
      <c r="F144" s="18" t="str">
        <f>Tabelas!X148</f>
        <v/>
      </c>
      <c r="G144" s="18" t="str">
        <f>Tabelas!Y148</f>
        <v/>
      </c>
      <c r="H144" s="18" t="str">
        <f>Tabelas!Z148</f>
        <v/>
      </c>
      <c r="I144" s="18" t="str">
        <f>Tabelas!AA148</f>
        <v/>
      </c>
      <c r="J144" s="18" t="str">
        <f>Tabelas!AB148</f>
        <v/>
      </c>
      <c r="K144" s="128" t="str">
        <f>Tabelas!AC148</f>
        <v/>
      </c>
      <c r="L144" s="128" t="str">
        <f>Tabelas!AD148</f>
        <v/>
      </c>
      <c r="M144" s="128" t="str">
        <f>Tabelas!AE148</f>
        <v/>
      </c>
      <c r="N144" s="34"/>
    </row>
    <row r="145" spans="1:14" ht="16" x14ac:dyDescent="0.2">
      <c r="A145" s="17" t="str">
        <f>Tabelas!S149</f>
        <v/>
      </c>
      <c r="B145" s="18" t="str">
        <f>Tabelas!T149</f>
        <v/>
      </c>
      <c r="C145" s="18" t="str">
        <f>Tabelas!U149</f>
        <v/>
      </c>
      <c r="D145" s="18" t="str">
        <f>Tabelas!V149</f>
        <v/>
      </c>
      <c r="E145" s="18" t="str">
        <f>Tabelas!W149</f>
        <v/>
      </c>
      <c r="F145" s="18" t="str">
        <f>Tabelas!X149</f>
        <v/>
      </c>
      <c r="G145" s="18" t="str">
        <f>Tabelas!Y149</f>
        <v/>
      </c>
      <c r="H145" s="18" t="str">
        <f>Tabelas!Z149</f>
        <v/>
      </c>
      <c r="I145" s="18" t="str">
        <f>Tabelas!AA149</f>
        <v/>
      </c>
      <c r="J145" s="18" t="str">
        <f>Tabelas!AB149</f>
        <v/>
      </c>
      <c r="K145" s="128" t="str">
        <f>Tabelas!AC149</f>
        <v/>
      </c>
      <c r="L145" s="128" t="str">
        <f>Tabelas!AD149</f>
        <v/>
      </c>
      <c r="M145" s="128" t="str">
        <f>Tabelas!AE149</f>
        <v/>
      </c>
      <c r="N145" s="34"/>
    </row>
    <row r="146" spans="1:14" x14ac:dyDescent="0.2">
      <c r="K146" s="34"/>
      <c r="L146" s="34"/>
      <c r="M146" s="34"/>
      <c r="N146" s="34"/>
    </row>
    <row r="147" spans="1:14" x14ac:dyDescent="0.2">
      <c r="K147" s="34"/>
      <c r="L147" s="34"/>
      <c r="M147" s="34"/>
      <c r="N147" s="34"/>
    </row>
    <row r="148" spans="1:14" x14ac:dyDescent="0.2">
      <c r="K148" s="34"/>
      <c r="L148" s="34"/>
      <c r="M148" s="34"/>
      <c r="N148" s="34"/>
    </row>
    <row r="149" spans="1:14" x14ac:dyDescent="0.2">
      <c r="K149" s="34"/>
      <c r="L149" s="34"/>
      <c r="M149" s="34"/>
      <c r="N149" s="34"/>
    </row>
    <row r="150" spans="1:14" x14ac:dyDescent="0.2">
      <c r="K150" s="34"/>
      <c r="L150" s="34"/>
      <c r="M150" s="34"/>
      <c r="N150" s="34"/>
    </row>
    <row r="151" spans="1:14" x14ac:dyDescent="0.2">
      <c r="K151" s="34"/>
      <c r="L151" s="34"/>
      <c r="M151" s="34"/>
      <c r="N151" s="34"/>
    </row>
    <row r="152" spans="1:14" x14ac:dyDescent="0.2">
      <c r="K152" s="34"/>
      <c r="L152" s="34"/>
      <c r="M152" s="34"/>
      <c r="N152" s="34"/>
    </row>
    <row r="153" spans="1:14" x14ac:dyDescent="0.2">
      <c r="K153" s="34"/>
      <c r="L153" s="34"/>
      <c r="M153" s="34"/>
      <c r="N153" s="34"/>
    </row>
    <row r="154" spans="1:14" x14ac:dyDescent="0.2">
      <c r="K154" s="34"/>
      <c r="L154" s="34"/>
      <c r="M154" s="34"/>
      <c r="N154" s="34"/>
    </row>
    <row r="155" spans="1:14" x14ac:dyDescent="0.2">
      <c r="K155" s="34"/>
      <c r="L155" s="34"/>
      <c r="M155" s="34"/>
      <c r="N155" s="34"/>
    </row>
    <row r="156" spans="1:14" x14ac:dyDescent="0.2">
      <c r="K156" s="34"/>
      <c r="L156" s="34"/>
      <c r="M156" s="34"/>
      <c r="N156" s="34"/>
    </row>
    <row r="157" spans="1:14" x14ac:dyDescent="0.2">
      <c r="K157" s="34"/>
      <c r="L157" s="34"/>
      <c r="M157" s="34"/>
      <c r="N157" s="34"/>
    </row>
    <row r="158" spans="1:14" x14ac:dyDescent="0.2">
      <c r="K158" s="34"/>
      <c r="L158" s="34"/>
      <c r="M158" s="34"/>
      <c r="N158" s="34"/>
    </row>
    <row r="159" spans="1:14" x14ac:dyDescent="0.2">
      <c r="K159" s="34"/>
      <c r="L159" s="34"/>
      <c r="M159" s="34"/>
      <c r="N159" s="34"/>
    </row>
    <row r="160" spans="1:14" x14ac:dyDescent="0.2">
      <c r="K160" s="34"/>
      <c r="L160" s="34"/>
      <c r="M160" s="34"/>
      <c r="N160" s="34"/>
    </row>
    <row r="161" spans="11:14" x14ac:dyDescent="0.2">
      <c r="K161" s="34"/>
      <c r="L161" s="34"/>
      <c r="M161" s="34"/>
      <c r="N161" s="34"/>
    </row>
    <row r="162" spans="11:14" x14ac:dyDescent="0.2">
      <c r="K162" s="34"/>
      <c r="L162" s="34"/>
      <c r="M162" s="34"/>
      <c r="N162" s="34"/>
    </row>
    <row r="163" spans="11:14" x14ac:dyDescent="0.2">
      <c r="K163" s="34"/>
      <c r="L163" s="34"/>
      <c r="M163" s="34"/>
      <c r="N163" s="34"/>
    </row>
    <row r="164" spans="11:14" x14ac:dyDescent="0.2">
      <c r="K164" s="34"/>
      <c r="L164" s="34"/>
      <c r="M164" s="34"/>
      <c r="N164" s="34"/>
    </row>
    <row r="165" spans="11:14" x14ac:dyDescent="0.2">
      <c r="K165" s="34"/>
      <c r="L165" s="34"/>
      <c r="M165" s="34"/>
      <c r="N165" s="34"/>
    </row>
    <row r="166" spans="11:14" x14ac:dyDescent="0.2">
      <c r="K166" s="34"/>
      <c r="L166" s="34"/>
      <c r="M166" s="34"/>
      <c r="N166" s="34"/>
    </row>
    <row r="167" spans="11:14" x14ac:dyDescent="0.2">
      <c r="K167" s="34"/>
      <c r="L167" s="34"/>
      <c r="M167" s="34"/>
      <c r="N167" s="34"/>
    </row>
    <row r="168" spans="11:14" x14ac:dyDescent="0.2">
      <c r="K168" s="34"/>
      <c r="L168" s="34"/>
      <c r="M168" s="34"/>
      <c r="N168" s="34"/>
    </row>
    <row r="169" spans="11:14" x14ac:dyDescent="0.2">
      <c r="K169" s="34"/>
      <c r="L169" s="34"/>
      <c r="M169" s="34"/>
      <c r="N169" s="34"/>
    </row>
    <row r="170" spans="11:14" x14ac:dyDescent="0.2">
      <c r="K170" s="34"/>
      <c r="L170" s="34"/>
      <c r="M170" s="34"/>
      <c r="N170" s="34"/>
    </row>
    <row r="171" spans="11:14" x14ac:dyDescent="0.2">
      <c r="K171" s="34"/>
      <c r="L171" s="34"/>
      <c r="M171" s="34"/>
      <c r="N171" s="34"/>
    </row>
    <row r="172" spans="11:14" x14ac:dyDescent="0.2">
      <c r="K172" s="34"/>
      <c r="L172" s="34"/>
      <c r="M172" s="34"/>
      <c r="N172" s="34"/>
    </row>
    <row r="173" spans="11:14" x14ac:dyDescent="0.2">
      <c r="K173" s="34"/>
      <c r="L173" s="34"/>
      <c r="M173" s="34"/>
      <c r="N173" s="34"/>
    </row>
    <row r="174" spans="11:14" x14ac:dyDescent="0.2">
      <c r="K174" s="34"/>
      <c r="L174" s="34"/>
      <c r="M174" s="34"/>
      <c r="N174" s="34"/>
    </row>
    <row r="175" spans="11:14" x14ac:dyDescent="0.2">
      <c r="K175" s="34"/>
      <c r="L175" s="34"/>
      <c r="M175" s="34"/>
      <c r="N175" s="34"/>
    </row>
    <row r="176" spans="11:14" x14ac:dyDescent="0.2">
      <c r="K176" s="34"/>
      <c r="L176" s="34"/>
      <c r="M176" s="34"/>
      <c r="N176" s="34"/>
    </row>
    <row r="177" spans="11:14" x14ac:dyDescent="0.2">
      <c r="K177" s="34"/>
      <c r="L177" s="34"/>
      <c r="M177" s="34"/>
      <c r="N177" s="34"/>
    </row>
    <row r="178" spans="11:14" x14ac:dyDescent="0.2">
      <c r="K178" s="34"/>
      <c r="L178" s="34"/>
      <c r="M178" s="34"/>
      <c r="N178" s="34"/>
    </row>
    <row r="179" spans="11:14" x14ac:dyDescent="0.2">
      <c r="K179" s="34"/>
      <c r="L179" s="34"/>
      <c r="M179" s="34"/>
      <c r="N179" s="34"/>
    </row>
    <row r="180" spans="11:14" x14ac:dyDescent="0.2">
      <c r="K180" s="34"/>
      <c r="L180" s="34"/>
      <c r="M180" s="34"/>
      <c r="N180" s="34"/>
    </row>
    <row r="181" spans="11:14" x14ac:dyDescent="0.2">
      <c r="K181" s="34"/>
      <c r="L181" s="34"/>
      <c r="M181" s="34"/>
      <c r="N181" s="34"/>
    </row>
    <row r="182" spans="11:14" x14ac:dyDescent="0.2">
      <c r="K182" s="34"/>
      <c r="L182" s="34"/>
      <c r="M182" s="34"/>
      <c r="N182" s="34"/>
    </row>
    <row r="183" spans="11:14" x14ac:dyDescent="0.2">
      <c r="K183" s="34"/>
      <c r="L183" s="34"/>
      <c r="M183" s="34"/>
      <c r="N183" s="34"/>
    </row>
    <row r="184" spans="11:14" x14ac:dyDescent="0.2">
      <c r="K184" s="34"/>
      <c r="L184" s="34"/>
      <c r="M184" s="34"/>
      <c r="N184" s="34"/>
    </row>
    <row r="185" spans="11:14" x14ac:dyDescent="0.2">
      <c r="K185" s="34"/>
      <c r="L185" s="34"/>
      <c r="M185" s="34"/>
      <c r="N185" s="34"/>
    </row>
    <row r="186" spans="11:14" x14ac:dyDescent="0.2">
      <c r="K186" s="34"/>
      <c r="L186" s="34"/>
      <c r="M186" s="34"/>
      <c r="N186" s="34"/>
    </row>
    <row r="187" spans="11:14" x14ac:dyDescent="0.2">
      <c r="K187" s="34"/>
      <c r="L187" s="34"/>
      <c r="M187" s="34"/>
      <c r="N187" s="34"/>
    </row>
    <row r="188" spans="11:14" x14ac:dyDescent="0.2">
      <c r="K188" s="34"/>
      <c r="L188" s="34"/>
      <c r="M188" s="34"/>
      <c r="N188" s="34"/>
    </row>
    <row r="189" spans="11:14" x14ac:dyDescent="0.2">
      <c r="K189" s="34"/>
      <c r="L189" s="34"/>
      <c r="M189" s="34"/>
      <c r="N189" s="34"/>
    </row>
    <row r="190" spans="11:14" x14ac:dyDescent="0.2">
      <c r="K190" s="34"/>
      <c r="L190" s="34"/>
      <c r="M190" s="34"/>
      <c r="N190" s="34"/>
    </row>
    <row r="191" spans="11:14" x14ac:dyDescent="0.2">
      <c r="K191" s="34"/>
      <c r="L191" s="34"/>
      <c r="M191" s="34"/>
      <c r="N191" s="34"/>
    </row>
    <row r="192" spans="11:14" x14ac:dyDescent="0.2">
      <c r="K192" s="34"/>
      <c r="L192" s="34"/>
      <c r="M192" s="34"/>
      <c r="N192" s="34"/>
    </row>
    <row r="193" spans="11:14" x14ac:dyDescent="0.2">
      <c r="K193" s="34"/>
      <c r="L193" s="34"/>
      <c r="M193" s="34"/>
      <c r="N193" s="34"/>
    </row>
    <row r="194" spans="11:14" x14ac:dyDescent="0.2">
      <c r="K194" s="34"/>
      <c r="L194" s="34"/>
      <c r="M194" s="34"/>
      <c r="N194" s="34"/>
    </row>
    <row r="195" spans="11:14" x14ac:dyDescent="0.2">
      <c r="K195" s="34"/>
      <c r="L195" s="34"/>
      <c r="M195" s="34"/>
      <c r="N195" s="34"/>
    </row>
    <row r="196" spans="11:14" x14ac:dyDescent="0.2">
      <c r="K196" s="34"/>
      <c r="L196" s="34"/>
      <c r="M196" s="34"/>
      <c r="N196" s="34"/>
    </row>
    <row r="197" spans="11:14" x14ac:dyDescent="0.2">
      <c r="K197" s="34"/>
      <c r="L197" s="34"/>
      <c r="M197" s="34"/>
      <c r="N197" s="34"/>
    </row>
    <row r="198" spans="11:14" x14ac:dyDescent="0.2">
      <c r="K198" s="34"/>
      <c r="L198" s="34"/>
      <c r="M198" s="34"/>
      <c r="N198" s="34"/>
    </row>
    <row r="199" spans="11:14" x14ac:dyDescent="0.2">
      <c r="K199" s="34"/>
      <c r="L199" s="34"/>
      <c r="M199" s="34"/>
      <c r="N199" s="34"/>
    </row>
    <row r="200" spans="11:14" x14ac:dyDescent="0.2">
      <c r="K200" s="34"/>
      <c r="L200" s="34"/>
      <c r="M200" s="34"/>
      <c r="N200" s="34"/>
    </row>
    <row r="201" spans="11:14" x14ac:dyDescent="0.2">
      <c r="K201" s="34"/>
      <c r="L201" s="34"/>
      <c r="M201" s="34"/>
      <c r="N201" s="34"/>
    </row>
    <row r="202" spans="11:14" x14ac:dyDescent="0.2">
      <c r="K202" s="34"/>
      <c r="L202" s="34"/>
      <c r="M202" s="34"/>
      <c r="N202" s="34"/>
    </row>
    <row r="203" spans="11:14" x14ac:dyDescent="0.2">
      <c r="K203" s="34"/>
      <c r="L203" s="34"/>
      <c r="M203" s="34"/>
      <c r="N203" s="34"/>
    </row>
    <row r="204" spans="11:14" x14ac:dyDescent="0.2">
      <c r="K204" s="34"/>
      <c r="L204" s="34"/>
      <c r="M204" s="34"/>
      <c r="N204" s="34"/>
    </row>
    <row r="205" spans="11:14" x14ac:dyDescent="0.2">
      <c r="K205" s="34"/>
      <c r="L205" s="34"/>
      <c r="M205" s="34"/>
      <c r="N205" s="34"/>
    </row>
    <row r="206" spans="11:14" x14ac:dyDescent="0.2">
      <c r="K206" s="34"/>
      <c r="L206" s="34"/>
      <c r="M206" s="34"/>
      <c r="N206" s="34"/>
    </row>
    <row r="207" spans="11:14" x14ac:dyDescent="0.2">
      <c r="K207" s="34"/>
      <c r="L207" s="34"/>
      <c r="M207" s="34"/>
      <c r="N207" s="34"/>
    </row>
    <row r="208" spans="11:14" x14ac:dyDescent="0.2">
      <c r="K208" s="34"/>
      <c r="L208" s="34"/>
      <c r="M208" s="34"/>
      <c r="N208" s="34"/>
    </row>
    <row r="209" spans="11:14" x14ac:dyDescent="0.2">
      <c r="K209" s="34"/>
      <c r="L209" s="34"/>
      <c r="M209" s="34"/>
      <c r="N209" s="34"/>
    </row>
    <row r="210" spans="11:14" x14ac:dyDescent="0.2">
      <c r="K210" s="34"/>
      <c r="L210" s="34"/>
      <c r="M210" s="34"/>
      <c r="N210" s="34"/>
    </row>
    <row r="211" spans="11:14" x14ac:dyDescent="0.2">
      <c r="K211" s="34"/>
      <c r="L211" s="34"/>
      <c r="M211" s="34"/>
      <c r="N211" s="34"/>
    </row>
    <row r="212" spans="11:14" x14ac:dyDescent="0.2">
      <c r="K212" s="34"/>
      <c r="L212" s="34"/>
      <c r="M212" s="34"/>
      <c r="N212" s="34"/>
    </row>
    <row r="213" spans="11:14" x14ac:dyDescent="0.2">
      <c r="K213" s="34"/>
      <c r="L213" s="34"/>
      <c r="M213" s="34"/>
      <c r="N213" s="34"/>
    </row>
    <row r="214" spans="11:14" x14ac:dyDescent="0.2">
      <c r="K214" s="34"/>
      <c r="L214" s="34"/>
      <c r="M214" s="34"/>
      <c r="N214" s="34"/>
    </row>
    <row r="215" spans="11:14" x14ac:dyDescent="0.2">
      <c r="K215" s="34"/>
      <c r="L215" s="34"/>
      <c r="M215" s="34"/>
      <c r="N215" s="34"/>
    </row>
    <row r="216" spans="11:14" x14ac:dyDescent="0.2">
      <c r="K216" s="34"/>
      <c r="L216" s="34"/>
      <c r="M216" s="34"/>
      <c r="N216" s="34"/>
    </row>
    <row r="217" spans="11:14" x14ac:dyDescent="0.2">
      <c r="K217" s="34"/>
      <c r="L217" s="34"/>
      <c r="M217" s="34"/>
      <c r="N217" s="34"/>
    </row>
    <row r="218" spans="11:14" x14ac:dyDescent="0.2">
      <c r="K218" s="34"/>
      <c r="L218" s="34"/>
      <c r="M218" s="34"/>
      <c r="N218" s="34"/>
    </row>
    <row r="219" spans="11:14" x14ac:dyDescent="0.2">
      <c r="K219" s="34"/>
      <c r="L219" s="34"/>
      <c r="M219" s="34"/>
      <c r="N219" s="34"/>
    </row>
    <row r="220" spans="11:14" x14ac:dyDescent="0.2">
      <c r="K220" s="34"/>
      <c r="L220" s="34"/>
      <c r="M220" s="34"/>
      <c r="N220" s="34"/>
    </row>
    <row r="221" spans="11:14" x14ac:dyDescent="0.2">
      <c r="K221" s="34"/>
      <c r="L221" s="34"/>
      <c r="M221" s="34"/>
      <c r="N221" s="34"/>
    </row>
    <row r="222" spans="11:14" x14ac:dyDescent="0.2">
      <c r="K222" s="34"/>
      <c r="L222" s="34"/>
      <c r="M222" s="34"/>
      <c r="N222" s="34"/>
    </row>
    <row r="223" spans="11:14" x14ac:dyDescent="0.2">
      <c r="K223" s="34"/>
      <c r="L223" s="34"/>
      <c r="M223" s="34"/>
      <c r="N223" s="34"/>
    </row>
    <row r="224" spans="11:14" x14ac:dyDescent="0.2">
      <c r="K224" s="34"/>
      <c r="L224" s="34"/>
      <c r="M224" s="34"/>
      <c r="N224" s="34"/>
    </row>
    <row r="225" spans="11:14" x14ac:dyDescent="0.2">
      <c r="K225" s="34"/>
      <c r="L225" s="34"/>
      <c r="M225" s="34"/>
      <c r="N225" s="34"/>
    </row>
    <row r="226" spans="11:14" x14ac:dyDescent="0.2">
      <c r="K226" s="34"/>
      <c r="L226" s="34"/>
      <c r="M226" s="34"/>
      <c r="N226" s="34"/>
    </row>
    <row r="227" spans="11:14" x14ac:dyDescent="0.2">
      <c r="K227" s="34"/>
      <c r="L227" s="34"/>
      <c r="M227" s="34"/>
      <c r="N227" s="34"/>
    </row>
    <row r="228" spans="11:14" x14ac:dyDescent="0.2">
      <c r="K228" s="34"/>
      <c r="L228" s="34"/>
      <c r="M228" s="34"/>
      <c r="N228" s="34"/>
    </row>
    <row r="229" spans="11:14" x14ac:dyDescent="0.2">
      <c r="K229" s="34"/>
      <c r="L229" s="34"/>
      <c r="M229" s="34"/>
      <c r="N229" s="34"/>
    </row>
    <row r="230" spans="11:14" x14ac:dyDescent="0.2">
      <c r="K230" s="34"/>
      <c r="L230" s="34"/>
      <c r="M230" s="34"/>
      <c r="N230" s="34"/>
    </row>
    <row r="231" spans="11:14" x14ac:dyDescent="0.2">
      <c r="K231" s="34"/>
      <c r="L231" s="34"/>
      <c r="M231" s="34"/>
      <c r="N231" s="34"/>
    </row>
    <row r="232" spans="11:14" x14ac:dyDescent="0.2">
      <c r="K232" s="34"/>
      <c r="L232" s="34"/>
      <c r="M232" s="34"/>
      <c r="N232" s="34"/>
    </row>
    <row r="233" spans="11:14" x14ac:dyDescent="0.2">
      <c r="K233" s="34"/>
      <c r="L233" s="34"/>
      <c r="M233" s="34"/>
      <c r="N233" s="34"/>
    </row>
    <row r="234" spans="11:14" x14ac:dyDescent="0.2">
      <c r="K234" s="34"/>
      <c r="L234" s="34"/>
      <c r="M234" s="34"/>
      <c r="N234" s="34"/>
    </row>
    <row r="235" spans="11:14" x14ac:dyDescent="0.2">
      <c r="K235" s="34"/>
      <c r="L235" s="34"/>
      <c r="M235" s="34"/>
      <c r="N235" s="34"/>
    </row>
    <row r="236" spans="11:14" x14ac:dyDescent="0.2">
      <c r="K236" s="34"/>
      <c r="L236" s="34"/>
      <c r="M236" s="34"/>
      <c r="N236" s="34"/>
    </row>
    <row r="237" spans="11:14" x14ac:dyDescent="0.2">
      <c r="K237" s="34"/>
      <c r="L237" s="34"/>
      <c r="M237" s="34"/>
      <c r="N237" s="34"/>
    </row>
    <row r="238" spans="11:14" x14ac:dyDescent="0.2">
      <c r="K238" s="34"/>
      <c r="L238" s="34"/>
      <c r="M238" s="34"/>
      <c r="N238" s="34"/>
    </row>
    <row r="239" spans="11:14" x14ac:dyDescent="0.2">
      <c r="K239" s="34"/>
      <c r="L239" s="34"/>
      <c r="M239" s="34"/>
      <c r="N239" s="34"/>
    </row>
    <row r="240" spans="11:14" x14ac:dyDescent="0.2">
      <c r="K240" s="34"/>
      <c r="L240" s="34"/>
      <c r="M240" s="34"/>
      <c r="N240" s="34"/>
    </row>
    <row r="241" spans="11:14" x14ac:dyDescent="0.2">
      <c r="K241" s="34"/>
      <c r="L241" s="34"/>
      <c r="M241" s="34"/>
      <c r="N241" s="34"/>
    </row>
    <row r="242" spans="11:14" x14ac:dyDescent="0.2">
      <c r="K242" s="34"/>
      <c r="L242" s="34"/>
      <c r="M242" s="34"/>
      <c r="N242" s="34"/>
    </row>
    <row r="243" spans="11:14" x14ac:dyDescent="0.2">
      <c r="K243" s="34"/>
      <c r="L243" s="34"/>
      <c r="M243" s="34"/>
      <c r="N243" s="34"/>
    </row>
    <row r="244" spans="11:14" x14ac:dyDescent="0.2">
      <c r="K244" s="34"/>
      <c r="L244" s="34"/>
      <c r="M244" s="34"/>
      <c r="N244" s="34"/>
    </row>
    <row r="245" spans="11:14" x14ac:dyDescent="0.2">
      <c r="K245" s="34"/>
      <c r="L245" s="34"/>
      <c r="M245" s="34"/>
      <c r="N245" s="34"/>
    </row>
    <row r="246" spans="11:14" x14ac:dyDescent="0.2">
      <c r="K246" s="34"/>
      <c r="L246" s="34"/>
      <c r="M246" s="34"/>
      <c r="N246" s="34"/>
    </row>
    <row r="247" spans="11:14" x14ac:dyDescent="0.2">
      <c r="K247" s="34"/>
      <c r="L247" s="34"/>
      <c r="M247" s="34"/>
      <c r="N247" s="34"/>
    </row>
    <row r="248" spans="11:14" x14ac:dyDescent="0.2">
      <c r="K248" s="34"/>
      <c r="L248" s="34"/>
      <c r="M248" s="34"/>
      <c r="N248" s="34"/>
    </row>
    <row r="249" spans="11:14" x14ac:dyDescent="0.2">
      <c r="K249" s="34"/>
      <c r="L249" s="34"/>
      <c r="M249" s="34"/>
      <c r="N249" s="34"/>
    </row>
    <row r="250" spans="11:14" x14ac:dyDescent="0.2">
      <c r="K250" s="34"/>
      <c r="L250" s="34"/>
      <c r="M250" s="34"/>
      <c r="N250" s="34"/>
    </row>
    <row r="251" spans="11:14" x14ac:dyDescent="0.2">
      <c r="K251" s="34"/>
      <c r="L251" s="34"/>
      <c r="M251" s="34"/>
      <c r="N251" s="34"/>
    </row>
    <row r="252" spans="11:14" x14ac:dyDescent="0.2">
      <c r="K252" s="34"/>
      <c r="L252" s="34"/>
      <c r="M252" s="34"/>
      <c r="N252" s="34"/>
    </row>
    <row r="253" spans="11:14" x14ac:dyDescent="0.2">
      <c r="K253" s="34"/>
      <c r="L253" s="34"/>
      <c r="M253" s="34"/>
      <c r="N253" s="34"/>
    </row>
    <row r="254" spans="11:14" x14ac:dyDescent="0.2">
      <c r="K254" s="34"/>
      <c r="L254" s="34"/>
      <c r="M254" s="34"/>
      <c r="N254" s="34"/>
    </row>
    <row r="255" spans="11:14" x14ac:dyDescent="0.2">
      <c r="K255" s="34"/>
      <c r="L255" s="34"/>
      <c r="M255" s="34"/>
      <c r="N255" s="34"/>
    </row>
    <row r="256" spans="11:14" x14ac:dyDescent="0.2">
      <c r="K256" s="34"/>
      <c r="L256" s="34"/>
      <c r="M256" s="34"/>
      <c r="N256" s="34"/>
    </row>
    <row r="257" spans="11:14" x14ac:dyDescent="0.2">
      <c r="K257" s="34"/>
      <c r="L257" s="34"/>
      <c r="M257" s="34"/>
      <c r="N257" s="34"/>
    </row>
    <row r="258" spans="11:14" x14ac:dyDescent="0.2">
      <c r="K258" s="34"/>
      <c r="L258" s="34"/>
      <c r="M258" s="34"/>
      <c r="N258" s="34"/>
    </row>
    <row r="259" spans="11:14" x14ac:dyDescent="0.2">
      <c r="K259" s="34"/>
      <c r="L259" s="34"/>
      <c r="M259" s="34"/>
      <c r="N259" s="34"/>
    </row>
    <row r="260" spans="11:14" x14ac:dyDescent="0.2">
      <c r="K260" s="34"/>
      <c r="L260" s="34"/>
      <c r="M260" s="34"/>
      <c r="N260" s="34"/>
    </row>
    <row r="261" spans="11:14" x14ac:dyDescent="0.2">
      <c r="K261" s="34"/>
      <c r="L261" s="34"/>
      <c r="M261" s="34"/>
      <c r="N261" s="34"/>
    </row>
    <row r="262" spans="11:14" x14ac:dyDescent="0.2">
      <c r="K262" s="34"/>
      <c r="L262" s="34"/>
      <c r="M262" s="34"/>
      <c r="N262" s="34"/>
    </row>
    <row r="263" spans="11:14" x14ac:dyDescent="0.2">
      <c r="K263" s="34"/>
      <c r="L263" s="34"/>
      <c r="M263" s="34"/>
      <c r="N263" s="34"/>
    </row>
    <row r="264" spans="11:14" x14ac:dyDescent="0.2">
      <c r="K264" s="34"/>
      <c r="L264" s="34"/>
      <c r="M264" s="34"/>
      <c r="N264" s="34"/>
    </row>
    <row r="265" spans="11:14" x14ac:dyDescent="0.2">
      <c r="K265" s="34"/>
      <c r="L265" s="34"/>
      <c r="M265" s="34"/>
      <c r="N265" s="34"/>
    </row>
    <row r="266" spans="11:14" x14ac:dyDescent="0.2">
      <c r="K266" s="34"/>
      <c r="L266" s="34"/>
      <c r="M266" s="34"/>
      <c r="N266" s="34"/>
    </row>
    <row r="267" spans="11:14" x14ac:dyDescent="0.2">
      <c r="K267" s="34"/>
      <c r="L267" s="34"/>
      <c r="M267" s="34"/>
      <c r="N267" s="34"/>
    </row>
    <row r="268" spans="11:14" x14ac:dyDescent="0.2">
      <c r="K268" s="34"/>
      <c r="L268" s="34"/>
      <c r="M268" s="34"/>
      <c r="N268" s="34"/>
    </row>
    <row r="269" spans="11:14" x14ac:dyDescent="0.2">
      <c r="K269" s="34"/>
      <c r="L269" s="34"/>
      <c r="M269" s="34"/>
      <c r="N269" s="34"/>
    </row>
    <row r="270" spans="11:14" x14ac:dyDescent="0.2">
      <c r="K270" s="34"/>
      <c r="L270" s="34"/>
      <c r="M270" s="34"/>
      <c r="N270" s="34"/>
    </row>
    <row r="271" spans="11:14" x14ac:dyDescent="0.2">
      <c r="K271" s="34"/>
      <c r="L271" s="34"/>
      <c r="M271" s="34"/>
      <c r="N271" s="34"/>
    </row>
    <row r="272" spans="11:14" x14ac:dyDescent="0.2">
      <c r="K272" s="34"/>
      <c r="L272" s="34"/>
      <c r="M272" s="34"/>
      <c r="N272" s="34"/>
    </row>
    <row r="273" spans="11:14" x14ac:dyDescent="0.2">
      <c r="K273" s="34"/>
      <c r="L273" s="34"/>
      <c r="M273" s="34"/>
      <c r="N273" s="34"/>
    </row>
    <row r="274" spans="11:14" x14ac:dyDescent="0.2">
      <c r="K274" s="34"/>
      <c r="L274" s="34"/>
      <c r="M274" s="34"/>
      <c r="N274" s="34"/>
    </row>
    <row r="275" spans="11:14" x14ac:dyDescent="0.2">
      <c r="K275" s="34"/>
      <c r="L275" s="34"/>
      <c r="M275" s="34"/>
      <c r="N275" s="34"/>
    </row>
    <row r="276" spans="11:14" x14ac:dyDescent="0.2">
      <c r="K276" s="34"/>
      <c r="L276" s="34"/>
      <c r="M276" s="34"/>
      <c r="N276" s="34"/>
    </row>
    <row r="277" spans="11:14" x14ac:dyDescent="0.2">
      <c r="K277" s="34"/>
      <c r="L277" s="34"/>
      <c r="M277" s="34"/>
      <c r="N277" s="34"/>
    </row>
    <row r="278" spans="11:14" x14ac:dyDescent="0.2">
      <c r="K278" s="34"/>
      <c r="L278" s="34"/>
      <c r="M278" s="34"/>
      <c r="N278" s="34"/>
    </row>
    <row r="279" spans="11:14" x14ac:dyDescent="0.2">
      <c r="K279" s="34"/>
      <c r="L279" s="34"/>
      <c r="M279" s="34"/>
      <c r="N279" s="34"/>
    </row>
    <row r="280" spans="11:14" x14ac:dyDescent="0.2">
      <c r="K280" s="34"/>
      <c r="L280" s="34"/>
      <c r="M280" s="34"/>
      <c r="N280" s="34"/>
    </row>
    <row r="281" spans="11:14" x14ac:dyDescent="0.2">
      <c r="K281" s="34"/>
      <c r="L281" s="34"/>
      <c r="M281" s="34"/>
      <c r="N281" s="34"/>
    </row>
    <row r="282" spans="11:14" x14ac:dyDescent="0.2">
      <c r="K282" s="34"/>
      <c r="L282" s="34"/>
      <c r="M282" s="34"/>
      <c r="N282" s="34"/>
    </row>
    <row r="283" spans="11:14" x14ac:dyDescent="0.2">
      <c r="K283" s="34"/>
      <c r="L283" s="34"/>
      <c r="M283" s="34"/>
      <c r="N283" s="34"/>
    </row>
    <row r="284" spans="11:14" x14ac:dyDescent="0.2">
      <c r="K284" s="34"/>
      <c r="L284" s="34"/>
      <c r="M284" s="34"/>
      <c r="N284" s="34"/>
    </row>
    <row r="285" spans="11:14" x14ac:dyDescent="0.2">
      <c r="K285" s="34"/>
      <c r="L285" s="34"/>
      <c r="M285" s="34"/>
      <c r="N285" s="34"/>
    </row>
    <row r="286" spans="11:14" x14ac:dyDescent="0.2">
      <c r="K286" s="34"/>
      <c r="L286" s="34"/>
      <c r="M286" s="34"/>
      <c r="N286" s="34"/>
    </row>
    <row r="287" spans="11:14" x14ac:dyDescent="0.2">
      <c r="K287" s="34"/>
      <c r="L287" s="34"/>
      <c r="M287" s="34"/>
      <c r="N287" s="34"/>
    </row>
    <row r="288" spans="11:14" x14ac:dyDescent="0.2">
      <c r="K288" s="34"/>
      <c r="L288" s="34"/>
      <c r="M288" s="34"/>
      <c r="N288" s="34"/>
    </row>
    <row r="289" spans="11:14" x14ac:dyDescent="0.2">
      <c r="K289" s="34"/>
      <c r="L289" s="34"/>
      <c r="M289" s="34"/>
      <c r="N289" s="34"/>
    </row>
    <row r="290" spans="11:14" x14ac:dyDescent="0.2">
      <c r="K290" s="34"/>
      <c r="L290" s="34"/>
      <c r="M290" s="34"/>
      <c r="N290" s="34"/>
    </row>
    <row r="291" spans="11:14" x14ac:dyDescent="0.2">
      <c r="K291" s="34"/>
      <c r="L291" s="34"/>
      <c r="M291" s="34"/>
      <c r="N291" s="34"/>
    </row>
    <row r="292" spans="11:14" x14ac:dyDescent="0.2">
      <c r="K292" s="34"/>
      <c r="L292" s="34"/>
      <c r="M292" s="34"/>
      <c r="N292" s="34"/>
    </row>
    <row r="293" spans="11:14" x14ac:dyDescent="0.2">
      <c r="K293" s="34"/>
      <c r="L293" s="34"/>
      <c r="M293" s="34"/>
      <c r="N293" s="34"/>
    </row>
    <row r="294" spans="11:14" x14ac:dyDescent="0.2">
      <c r="K294" s="34"/>
      <c r="L294" s="34"/>
      <c r="M294" s="34"/>
      <c r="N294" s="34"/>
    </row>
    <row r="295" spans="11:14" x14ac:dyDescent="0.2">
      <c r="K295" s="34"/>
      <c r="L295" s="34"/>
      <c r="M295" s="34"/>
      <c r="N295" s="34"/>
    </row>
    <row r="296" spans="11:14" x14ac:dyDescent="0.2">
      <c r="K296" s="34"/>
      <c r="L296" s="34"/>
      <c r="M296" s="34"/>
      <c r="N296" s="34"/>
    </row>
    <row r="297" spans="11:14" x14ac:dyDescent="0.2">
      <c r="K297" s="34"/>
      <c r="L297" s="34"/>
      <c r="M297" s="34"/>
      <c r="N297" s="34"/>
    </row>
    <row r="298" spans="11:14" x14ac:dyDescent="0.2">
      <c r="K298" s="34"/>
      <c r="L298" s="34"/>
      <c r="M298" s="34"/>
      <c r="N298" s="34"/>
    </row>
    <row r="299" spans="11:14" x14ac:dyDescent="0.2">
      <c r="K299" s="34"/>
      <c r="L299" s="34"/>
      <c r="M299" s="34"/>
      <c r="N299" s="34"/>
    </row>
    <row r="300" spans="11:14" x14ac:dyDescent="0.2">
      <c r="K300" s="34"/>
      <c r="L300" s="34"/>
      <c r="M300" s="34"/>
      <c r="N300" s="34"/>
    </row>
    <row r="301" spans="11:14" x14ac:dyDescent="0.2">
      <c r="K301" s="34"/>
      <c r="L301" s="34"/>
      <c r="M301" s="34"/>
      <c r="N301" s="34"/>
    </row>
    <row r="302" spans="11:14" x14ac:dyDescent="0.2">
      <c r="K302" s="34"/>
      <c r="L302" s="34"/>
      <c r="M302" s="34"/>
      <c r="N302" s="34"/>
    </row>
    <row r="303" spans="11:14" x14ac:dyDescent="0.2">
      <c r="K303" s="34"/>
      <c r="L303" s="34"/>
      <c r="M303" s="34"/>
      <c r="N303" s="34"/>
    </row>
    <row r="304" spans="11:14" x14ac:dyDescent="0.2">
      <c r="K304" s="34"/>
      <c r="L304" s="34"/>
      <c r="M304" s="34"/>
      <c r="N304" s="34"/>
    </row>
    <row r="305" spans="11:14" x14ac:dyDescent="0.2">
      <c r="K305" s="34"/>
      <c r="L305" s="34"/>
      <c r="M305" s="34"/>
      <c r="N305" s="34"/>
    </row>
    <row r="306" spans="11:14" x14ac:dyDescent="0.2">
      <c r="K306" s="34"/>
      <c r="L306" s="34"/>
      <c r="M306" s="34"/>
      <c r="N306" s="34"/>
    </row>
    <row r="307" spans="11:14" x14ac:dyDescent="0.2">
      <c r="K307" s="34"/>
      <c r="L307" s="34"/>
      <c r="M307" s="34"/>
      <c r="N307" s="34"/>
    </row>
    <row r="308" spans="11:14" x14ac:dyDescent="0.2">
      <c r="K308" s="34"/>
      <c r="L308" s="34"/>
      <c r="M308" s="34"/>
      <c r="N308" s="34"/>
    </row>
    <row r="309" spans="11:14" x14ac:dyDescent="0.2">
      <c r="K309" s="34"/>
      <c r="L309" s="34"/>
      <c r="M309" s="34"/>
      <c r="N309" s="34"/>
    </row>
    <row r="310" spans="11:14" x14ac:dyDescent="0.2">
      <c r="K310" s="34"/>
      <c r="L310" s="34"/>
      <c r="M310" s="34"/>
      <c r="N310" s="34"/>
    </row>
    <row r="311" spans="11:14" x14ac:dyDescent="0.2">
      <c r="K311" s="34"/>
      <c r="L311" s="34"/>
      <c r="M311" s="34"/>
      <c r="N311" s="34"/>
    </row>
    <row r="312" spans="11:14" x14ac:dyDescent="0.2">
      <c r="K312" s="34"/>
      <c r="L312" s="34"/>
      <c r="M312" s="34"/>
      <c r="N312" s="34"/>
    </row>
    <row r="313" spans="11:14" x14ac:dyDescent="0.2">
      <c r="K313" s="34"/>
      <c r="L313" s="34"/>
      <c r="M313" s="34"/>
      <c r="N313" s="34"/>
    </row>
    <row r="314" spans="11:14" x14ac:dyDescent="0.2">
      <c r="K314" s="34"/>
      <c r="L314" s="34"/>
      <c r="M314" s="34"/>
      <c r="N314" s="34"/>
    </row>
    <row r="315" spans="11:14" x14ac:dyDescent="0.2">
      <c r="K315" s="34"/>
      <c r="L315" s="34"/>
      <c r="M315" s="34"/>
      <c r="N315" s="34"/>
    </row>
    <row r="316" spans="11:14" x14ac:dyDescent="0.2">
      <c r="K316" s="34"/>
      <c r="L316" s="34"/>
      <c r="M316" s="34"/>
      <c r="N316" s="34"/>
    </row>
    <row r="317" spans="11:14" x14ac:dyDescent="0.2">
      <c r="K317" s="34"/>
      <c r="L317" s="34"/>
      <c r="M317" s="34"/>
      <c r="N317" s="34"/>
    </row>
    <row r="318" spans="11:14" x14ac:dyDescent="0.2">
      <c r="K318" s="34"/>
      <c r="L318" s="34"/>
      <c r="M318" s="34"/>
      <c r="N318" s="34"/>
    </row>
    <row r="319" spans="11:14" x14ac:dyDescent="0.2">
      <c r="K319" s="34"/>
      <c r="L319" s="34"/>
      <c r="M319" s="34"/>
      <c r="N319" s="34"/>
    </row>
    <row r="320" spans="11:14" x14ac:dyDescent="0.2">
      <c r="K320" s="34"/>
      <c r="L320" s="34"/>
      <c r="M320" s="34"/>
      <c r="N320" s="34"/>
    </row>
    <row r="321" spans="11:14" x14ac:dyDescent="0.2">
      <c r="K321" s="34"/>
      <c r="L321" s="34"/>
      <c r="M321" s="34"/>
      <c r="N321" s="34"/>
    </row>
    <row r="322" spans="11:14" x14ac:dyDescent="0.2">
      <c r="K322" s="34"/>
      <c r="L322" s="34"/>
      <c r="M322" s="34"/>
      <c r="N322" s="34"/>
    </row>
    <row r="323" spans="11:14" x14ac:dyDescent="0.2">
      <c r="K323" s="34"/>
      <c r="L323" s="34"/>
      <c r="M323" s="34"/>
      <c r="N323" s="34"/>
    </row>
    <row r="324" spans="11:14" x14ac:dyDescent="0.2">
      <c r="K324" s="34"/>
      <c r="L324" s="34"/>
      <c r="M324" s="34"/>
      <c r="N324" s="34"/>
    </row>
    <row r="325" spans="11:14" x14ac:dyDescent="0.2">
      <c r="K325" s="34"/>
      <c r="L325" s="34"/>
      <c r="M325" s="34"/>
      <c r="N325" s="34"/>
    </row>
    <row r="326" spans="11:14" x14ac:dyDescent="0.2">
      <c r="K326" s="34"/>
      <c r="L326" s="34"/>
      <c r="M326" s="34"/>
      <c r="N326" s="34"/>
    </row>
    <row r="327" spans="11:14" x14ac:dyDescent="0.2">
      <c r="K327" s="34"/>
      <c r="L327" s="34"/>
      <c r="M327" s="34"/>
      <c r="N327" s="34"/>
    </row>
    <row r="328" spans="11:14" x14ac:dyDescent="0.2">
      <c r="K328" s="34"/>
      <c r="L328" s="34"/>
      <c r="M328" s="34"/>
      <c r="N328" s="34"/>
    </row>
    <row r="329" spans="11:14" x14ac:dyDescent="0.2">
      <c r="K329" s="34"/>
      <c r="L329" s="34"/>
      <c r="M329" s="34"/>
      <c r="N329" s="34"/>
    </row>
    <row r="330" spans="11:14" x14ac:dyDescent="0.2">
      <c r="K330" s="34"/>
      <c r="L330" s="34"/>
      <c r="M330" s="34"/>
      <c r="N330" s="34"/>
    </row>
    <row r="331" spans="11:14" x14ac:dyDescent="0.2">
      <c r="K331" s="34"/>
      <c r="L331" s="34"/>
      <c r="M331" s="34"/>
      <c r="N331" s="34"/>
    </row>
    <row r="332" spans="11:14" x14ac:dyDescent="0.2">
      <c r="K332" s="34"/>
      <c r="L332" s="34"/>
      <c r="M332" s="34"/>
      <c r="N332" s="34"/>
    </row>
    <row r="333" spans="11:14" x14ac:dyDescent="0.2">
      <c r="K333" s="34"/>
      <c r="L333" s="34"/>
      <c r="M333" s="34"/>
      <c r="N333" s="34"/>
    </row>
    <row r="334" spans="11:14" x14ac:dyDescent="0.2">
      <c r="K334" s="34"/>
      <c r="L334" s="34"/>
      <c r="M334" s="34"/>
      <c r="N334" s="34"/>
    </row>
    <row r="335" spans="11:14" x14ac:dyDescent="0.2">
      <c r="K335" s="34"/>
      <c r="L335" s="34"/>
      <c r="M335" s="34"/>
      <c r="N335" s="34"/>
    </row>
    <row r="336" spans="11:14" x14ac:dyDescent="0.2">
      <c r="K336" s="34"/>
      <c r="L336" s="34"/>
      <c r="M336" s="34"/>
      <c r="N336" s="34"/>
    </row>
    <row r="337" spans="11:14" x14ac:dyDescent="0.2">
      <c r="K337" s="34"/>
      <c r="L337" s="34"/>
      <c r="M337" s="34"/>
      <c r="N337" s="34"/>
    </row>
    <row r="338" spans="11:14" x14ac:dyDescent="0.2">
      <c r="K338" s="34"/>
      <c r="L338" s="34"/>
      <c r="M338" s="34"/>
      <c r="N338" s="34"/>
    </row>
    <row r="339" spans="11:14" x14ac:dyDescent="0.2">
      <c r="K339" s="34"/>
      <c r="L339" s="34"/>
      <c r="M339" s="34"/>
      <c r="N339" s="34"/>
    </row>
    <row r="340" spans="11:14" x14ac:dyDescent="0.2">
      <c r="K340" s="34"/>
      <c r="L340" s="34"/>
      <c r="M340" s="34"/>
      <c r="N340" s="34"/>
    </row>
    <row r="341" spans="11:14" x14ac:dyDescent="0.2">
      <c r="K341" s="34"/>
      <c r="L341" s="34"/>
      <c r="M341" s="34"/>
      <c r="N341" s="34"/>
    </row>
    <row r="342" spans="11:14" x14ac:dyDescent="0.2">
      <c r="K342" s="34"/>
      <c r="L342" s="34"/>
      <c r="M342" s="34"/>
      <c r="N342" s="34"/>
    </row>
    <row r="343" spans="11:14" x14ac:dyDescent="0.2">
      <c r="K343" s="34"/>
      <c r="L343" s="34"/>
      <c r="M343" s="34"/>
      <c r="N343" s="34"/>
    </row>
    <row r="344" spans="11:14" x14ac:dyDescent="0.2">
      <c r="K344" s="34"/>
      <c r="L344" s="34"/>
      <c r="M344" s="34"/>
      <c r="N344" s="34"/>
    </row>
    <row r="345" spans="11:14" x14ac:dyDescent="0.2">
      <c r="K345" s="34"/>
      <c r="L345" s="34"/>
      <c r="M345" s="34"/>
      <c r="N345" s="34"/>
    </row>
    <row r="346" spans="11:14" x14ac:dyDescent="0.2">
      <c r="K346" s="34"/>
      <c r="L346" s="34"/>
      <c r="M346" s="34"/>
      <c r="N346" s="34"/>
    </row>
    <row r="347" spans="11:14" x14ac:dyDescent="0.2">
      <c r="K347" s="34"/>
      <c r="L347" s="34"/>
      <c r="M347" s="34"/>
      <c r="N347" s="34"/>
    </row>
    <row r="348" spans="11:14" x14ac:dyDescent="0.2">
      <c r="K348" s="34"/>
      <c r="L348" s="34"/>
      <c r="M348" s="34"/>
      <c r="N348" s="34"/>
    </row>
    <row r="349" spans="11:14" x14ac:dyDescent="0.2">
      <c r="K349" s="34"/>
      <c r="L349" s="34"/>
      <c r="M349" s="34"/>
      <c r="N349" s="34"/>
    </row>
    <row r="350" spans="11:14" x14ac:dyDescent="0.2">
      <c r="K350" s="34"/>
      <c r="L350" s="34"/>
      <c r="M350" s="34"/>
      <c r="N350" s="34"/>
    </row>
    <row r="351" spans="11:14" x14ac:dyDescent="0.2">
      <c r="K351" s="34"/>
      <c r="L351" s="34"/>
      <c r="M351" s="34"/>
      <c r="N351" s="34"/>
    </row>
    <row r="352" spans="11:14" x14ac:dyDescent="0.2">
      <c r="K352" s="34"/>
      <c r="L352" s="34"/>
      <c r="M352" s="34"/>
      <c r="N352" s="34"/>
    </row>
    <row r="353" spans="11:14" x14ac:dyDescent="0.2">
      <c r="K353" s="34"/>
      <c r="L353" s="34"/>
      <c r="M353" s="34"/>
      <c r="N353" s="34"/>
    </row>
    <row r="354" spans="11:14" x14ac:dyDescent="0.2">
      <c r="K354" s="34"/>
      <c r="L354" s="34"/>
      <c r="M354" s="34"/>
      <c r="N354" s="34"/>
    </row>
    <row r="355" spans="11:14" x14ac:dyDescent="0.2">
      <c r="K355" s="34"/>
      <c r="L355" s="34"/>
      <c r="M355" s="34"/>
      <c r="N355" s="34"/>
    </row>
    <row r="356" spans="11:14" x14ac:dyDescent="0.2">
      <c r="K356" s="34"/>
      <c r="L356" s="34"/>
      <c r="M356" s="34"/>
      <c r="N356" s="34"/>
    </row>
    <row r="357" spans="11:14" x14ac:dyDescent="0.2">
      <c r="K357" s="34"/>
      <c r="L357" s="34"/>
      <c r="M357" s="34"/>
      <c r="N357" s="34"/>
    </row>
    <row r="358" spans="11:14" x14ac:dyDescent="0.2">
      <c r="K358" s="34"/>
      <c r="L358" s="34"/>
      <c r="M358" s="34"/>
      <c r="N358" s="34"/>
    </row>
    <row r="359" spans="11:14" x14ac:dyDescent="0.2">
      <c r="K359" s="34"/>
      <c r="L359" s="34"/>
      <c r="M359" s="34"/>
      <c r="N359" s="34"/>
    </row>
    <row r="360" spans="11:14" x14ac:dyDescent="0.2">
      <c r="K360" s="34"/>
      <c r="L360" s="34"/>
      <c r="M360" s="34"/>
      <c r="N360" s="34"/>
    </row>
    <row r="361" spans="11:14" x14ac:dyDescent="0.2">
      <c r="K361" s="34"/>
      <c r="L361" s="34"/>
      <c r="M361" s="34"/>
      <c r="N361" s="34"/>
    </row>
    <row r="362" spans="11:14" x14ac:dyDescent="0.2">
      <c r="K362" s="34"/>
      <c r="L362" s="34"/>
      <c r="M362" s="34"/>
      <c r="N362" s="34"/>
    </row>
    <row r="363" spans="11:14" x14ac:dyDescent="0.2">
      <c r="K363" s="34"/>
      <c r="L363" s="34"/>
      <c r="M363" s="34"/>
      <c r="N363" s="34"/>
    </row>
    <row r="364" spans="11:14" x14ac:dyDescent="0.2">
      <c r="K364" s="34"/>
      <c r="L364" s="34"/>
      <c r="M364" s="34"/>
      <c r="N364" s="34"/>
    </row>
    <row r="365" spans="11:14" x14ac:dyDescent="0.2">
      <c r="K365" s="34"/>
      <c r="L365" s="34"/>
      <c r="M365" s="34"/>
      <c r="N365" s="34"/>
    </row>
    <row r="366" spans="11:14" x14ac:dyDescent="0.2">
      <c r="K366" s="34"/>
      <c r="L366" s="34"/>
      <c r="M366" s="34"/>
      <c r="N366" s="34"/>
    </row>
    <row r="367" spans="11:14" x14ac:dyDescent="0.2">
      <c r="K367" s="34"/>
      <c r="L367" s="34"/>
      <c r="M367" s="34"/>
      <c r="N367" s="34"/>
    </row>
    <row r="368" spans="11:14" x14ac:dyDescent="0.2">
      <c r="K368" s="34"/>
      <c r="L368" s="34"/>
      <c r="M368" s="34"/>
      <c r="N368" s="34"/>
    </row>
    <row r="369" spans="11:14" x14ac:dyDescent="0.2">
      <c r="K369" s="34"/>
      <c r="L369" s="34"/>
      <c r="M369" s="34"/>
      <c r="N369" s="34"/>
    </row>
    <row r="370" spans="11:14" x14ac:dyDescent="0.2">
      <c r="K370" s="34"/>
      <c r="L370" s="34"/>
      <c r="M370" s="34"/>
      <c r="N370" s="34"/>
    </row>
    <row r="371" spans="11:14" x14ac:dyDescent="0.2">
      <c r="K371" s="34"/>
      <c r="L371" s="34"/>
      <c r="M371" s="34"/>
      <c r="N371" s="34"/>
    </row>
    <row r="372" spans="11:14" x14ac:dyDescent="0.2">
      <c r="K372" s="34"/>
      <c r="L372" s="34"/>
      <c r="M372" s="34"/>
      <c r="N372" s="34"/>
    </row>
    <row r="373" spans="11:14" x14ac:dyDescent="0.2">
      <c r="K373" s="34"/>
      <c r="L373" s="34"/>
      <c r="M373" s="34"/>
      <c r="N373" s="34"/>
    </row>
    <row r="374" spans="11:14" x14ac:dyDescent="0.2">
      <c r="K374" s="34"/>
      <c r="L374" s="34"/>
      <c r="M374" s="34"/>
      <c r="N374" s="34"/>
    </row>
    <row r="375" spans="11:14" x14ac:dyDescent="0.2">
      <c r="K375" s="34"/>
      <c r="L375" s="34"/>
      <c r="M375" s="34"/>
      <c r="N375" s="34"/>
    </row>
    <row r="376" spans="11:14" x14ac:dyDescent="0.2">
      <c r="K376" s="34"/>
      <c r="L376" s="34"/>
      <c r="M376" s="34"/>
      <c r="N376" s="34"/>
    </row>
    <row r="377" spans="11:14" x14ac:dyDescent="0.2">
      <c r="K377" s="34"/>
      <c r="L377" s="34"/>
      <c r="M377" s="34"/>
      <c r="N377" s="34"/>
    </row>
    <row r="378" spans="11:14" x14ac:dyDescent="0.2">
      <c r="K378" s="34"/>
      <c r="L378" s="34"/>
      <c r="M378" s="34"/>
      <c r="N378" s="34"/>
    </row>
    <row r="379" spans="11:14" x14ac:dyDescent="0.2">
      <c r="K379" s="34"/>
      <c r="L379" s="34"/>
      <c r="M379" s="34"/>
      <c r="N379" s="34"/>
    </row>
    <row r="380" spans="11:14" x14ac:dyDescent="0.2">
      <c r="K380" s="34"/>
      <c r="L380" s="34"/>
      <c r="M380" s="34"/>
      <c r="N380" s="34"/>
    </row>
    <row r="381" spans="11:14" x14ac:dyDescent="0.2">
      <c r="K381" s="34"/>
      <c r="L381" s="34"/>
      <c r="M381" s="34"/>
      <c r="N381" s="34"/>
    </row>
    <row r="382" spans="11:14" x14ac:dyDescent="0.2">
      <c r="K382" s="34"/>
      <c r="L382" s="34"/>
      <c r="M382" s="34"/>
      <c r="N382" s="34"/>
    </row>
    <row r="383" spans="11:14" x14ac:dyDescent="0.2">
      <c r="K383" s="34"/>
      <c r="L383" s="34"/>
      <c r="M383" s="34"/>
      <c r="N383" s="34"/>
    </row>
    <row r="384" spans="11:14" x14ac:dyDescent="0.2">
      <c r="K384" s="34"/>
      <c r="L384" s="34"/>
      <c r="M384" s="34"/>
      <c r="N384" s="34"/>
    </row>
    <row r="385" spans="11:14" x14ac:dyDescent="0.2">
      <c r="K385" s="34"/>
      <c r="L385" s="34"/>
      <c r="M385" s="34"/>
      <c r="N385" s="34"/>
    </row>
    <row r="386" spans="11:14" x14ac:dyDescent="0.2">
      <c r="K386" s="34"/>
      <c r="L386" s="34"/>
      <c r="M386" s="34"/>
      <c r="N386" s="34"/>
    </row>
    <row r="387" spans="11:14" x14ac:dyDescent="0.2">
      <c r="K387" s="34"/>
      <c r="L387" s="34"/>
      <c r="M387" s="34"/>
      <c r="N387" s="34"/>
    </row>
    <row r="388" spans="11:14" x14ac:dyDescent="0.2">
      <c r="K388" s="34"/>
      <c r="L388" s="34"/>
      <c r="M388" s="34"/>
      <c r="N388" s="34"/>
    </row>
    <row r="389" spans="11:14" x14ac:dyDescent="0.2">
      <c r="K389" s="34"/>
      <c r="L389" s="34"/>
      <c r="M389" s="34"/>
      <c r="N389" s="34"/>
    </row>
    <row r="390" spans="11:14" x14ac:dyDescent="0.2">
      <c r="K390" s="34"/>
      <c r="L390" s="34"/>
      <c r="M390" s="34"/>
      <c r="N390" s="34"/>
    </row>
    <row r="391" spans="11:14" x14ac:dyDescent="0.2">
      <c r="K391" s="34"/>
      <c r="L391" s="34"/>
      <c r="M391" s="34"/>
      <c r="N391" s="34"/>
    </row>
    <row r="392" spans="11:14" x14ac:dyDescent="0.2">
      <c r="K392" s="34"/>
      <c r="L392" s="34"/>
      <c r="M392" s="34"/>
      <c r="N392" s="34"/>
    </row>
    <row r="393" spans="11:14" x14ac:dyDescent="0.2">
      <c r="K393" s="34"/>
      <c r="L393" s="34"/>
      <c r="M393" s="34"/>
      <c r="N393" s="34"/>
    </row>
    <row r="394" spans="11:14" x14ac:dyDescent="0.2">
      <c r="K394" s="34"/>
      <c r="L394" s="34"/>
      <c r="M394" s="34"/>
      <c r="N394" s="34"/>
    </row>
    <row r="395" spans="11:14" x14ac:dyDescent="0.2">
      <c r="K395" s="34"/>
      <c r="L395" s="34"/>
      <c r="M395" s="34"/>
      <c r="N395" s="34"/>
    </row>
    <row r="396" spans="11:14" x14ac:dyDescent="0.2">
      <c r="K396" s="34"/>
      <c r="L396" s="34"/>
      <c r="M396" s="34"/>
      <c r="N396" s="34"/>
    </row>
    <row r="397" spans="11:14" x14ac:dyDescent="0.2">
      <c r="K397" s="34"/>
      <c r="L397" s="34"/>
      <c r="M397" s="34"/>
      <c r="N397" s="34"/>
    </row>
    <row r="398" spans="11:14" x14ac:dyDescent="0.2">
      <c r="K398" s="34"/>
      <c r="L398" s="34"/>
      <c r="M398" s="34"/>
      <c r="N398" s="34"/>
    </row>
    <row r="399" spans="11:14" x14ac:dyDescent="0.2">
      <c r="K399" s="34"/>
      <c r="L399" s="34"/>
      <c r="M399" s="34"/>
      <c r="N399" s="34"/>
    </row>
    <row r="400" spans="11:14" x14ac:dyDescent="0.2">
      <c r="K400" s="34"/>
      <c r="L400" s="34"/>
      <c r="M400" s="34"/>
      <c r="N400" s="34"/>
    </row>
    <row r="401" spans="11:14" x14ac:dyDescent="0.2">
      <c r="K401" s="34"/>
      <c r="L401" s="34"/>
      <c r="M401" s="34"/>
      <c r="N401" s="34"/>
    </row>
    <row r="402" spans="11:14" x14ac:dyDescent="0.2">
      <c r="K402" s="34"/>
      <c r="L402" s="34"/>
      <c r="M402" s="34"/>
      <c r="N402" s="34"/>
    </row>
    <row r="403" spans="11:14" x14ac:dyDescent="0.2">
      <c r="K403" s="34"/>
      <c r="L403" s="34"/>
      <c r="M403" s="34"/>
      <c r="N403" s="34"/>
    </row>
    <row r="404" spans="11:14" x14ac:dyDescent="0.2">
      <c r="K404" s="34"/>
      <c r="L404" s="34"/>
      <c r="M404" s="34"/>
      <c r="N404" s="34"/>
    </row>
    <row r="405" spans="11:14" x14ac:dyDescent="0.2">
      <c r="K405" s="34"/>
      <c r="L405" s="34"/>
      <c r="M405" s="34"/>
      <c r="N405" s="34"/>
    </row>
    <row r="406" spans="11:14" x14ac:dyDescent="0.2">
      <c r="K406" s="34"/>
      <c r="L406" s="34"/>
      <c r="M406" s="34"/>
      <c r="N406" s="34"/>
    </row>
    <row r="407" spans="11:14" x14ac:dyDescent="0.2">
      <c r="K407" s="34"/>
      <c r="L407" s="34"/>
      <c r="M407" s="34"/>
      <c r="N407" s="34"/>
    </row>
    <row r="408" spans="11:14" x14ac:dyDescent="0.2">
      <c r="K408" s="34"/>
      <c r="L408" s="34"/>
      <c r="M408" s="34"/>
      <c r="N408" s="34"/>
    </row>
    <row r="409" spans="11:14" x14ac:dyDescent="0.2">
      <c r="K409" s="34"/>
      <c r="L409" s="34"/>
      <c r="M409" s="34"/>
      <c r="N409" s="34"/>
    </row>
    <row r="410" spans="11:14" x14ac:dyDescent="0.2">
      <c r="K410" s="34"/>
      <c r="L410" s="34"/>
      <c r="M410" s="34"/>
      <c r="N410" s="34"/>
    </row>
    <row r="411" spans="11:14" x14ac:dyDescent="0.2">
      <c r="K411" s="34"/>
      <c r="L411" s="34"/>
      <c r="M411" s="34"/>
      <c r="N411" s="34"/>
    </row>
    <row r="412" spans="11:14" x14ac:dyDescent="0.2">
      <c r="K412" s="34"/>
      <c r="L412" s="34"/>
      <c r="M412" s="34"/>
      <c r="N412" s="34"/>
    </row>
    <row r="413" spans="11:14" x14ac:dyDescent="0.2">
      <c r="K413" s="34"/>
      <c r="L413" s="34"/>
      <c r="M413" s="34"/>
      <c r="N413" s="34"/>
    </row>
    <row r="414" spans="11:14" x14ac:dyDescent="0.2">
      <c r="K414" s="34"/>
      <c r="L414" s="34"/>
      <c r="M414" s="34"/>
      <c r="N414" s="34"/>
    </row>
    <row r="415" spans="11:14" x14ac:dyDescent="0.2">
      <c r="K415" s="34"/>
      <c r="L415" s="34"/>
      <c r="M415" s="34"/>
      <c r="N415" s="34"/>
    </row>
    <row r="416" spans="11:14" x14ac:dyDescent="0.2">
      <c r="K416" s="34"/>
      <c r="L416" s="34"/>
      <c r="M416" s="34"/>
      <c r="N416" s="34"/>
    </row>
    <row r="417" spans="11:14" x14ac:dyDescent="0.2">
      <c r="K417" s="34"/>
      <c r="L417" s="34"/>
      <c r="M417" s="34"/>
      <c r="N417" s="34"/>
    </row>
    <row r="418" spans="11:14" x14ac:dyDescent="0.2">
      <c r="K418" s="34"/>
      <c r="L418" s="34"/>
      <c r="M418" s="34"/>
      <c r="N418" s="34"/>
    </row>
    <row r="419" spans="11:14" x14ac:dyDescent="0.2">
      <c r="K419" s="34"/>
      <c r="L419" s="34"/>
      <c r="M419" s="34"/>
      <c r="N419" s="34"/>
    </row>
    <row r="420" spans="11:14" x14ac:dyDescent="0.2">
      <c r="K420" s="34"/>
      <c r="L420" s="34"/>
      <c r="M420" s="34"/>
      <c r="N420" s="34"/>
    </row>
    <row r="421" spans="11:14" x14ac:dyDescent="0.2">
      <c r="K421" s="34"/>
      <c r="L421" s="34"/>
      <c r="M421" s="34"/>
      <c r="N421" s="34"/>
    </row>
    <row r="422" spans="11:14" x14ac:dyDescent="0.2">
      <c r="K422" s="34"/>
      <c r="L422" s="34"/>
      <c r="M422" s="34"/>
      <c r="N422" s="34"/>
    </row>
    <row r="423" spans="11:14" x14ac:dyDescent="0.2">
      <c r="K423" s="34"/>
      <c r="L423" s="34"/>
      <c r="M423" s="34"/>
      <c r="N423" s="34"/>
    </row>
    <row r="424" spans="11:14" x14ac:dyDescent="0.2">
      <c r="K424" s="34"/>
      <c r="L424" s="34"/>
      <c r="M424" s="34"/>
      <c r="N424" s="34"/>
    </row>
    <row r="425" spans="11:14" x14ac:dyDescent="0.2">
      <c r="K425" s="34"/>
      <c r="L425" s="34"/>
      <c r="M425" s="34"/>
      <c r="N425" s="34"/>
    </row>
    <row r="426" spans="11:14" x14ac:dyDescent="0.2">
      <c r="K426" s="34"/>
      <c r="L426" s="34"/>
      <c r="M426" s="34"/>
      <c r="N426" s="34"/>
    </row>
    <row r="427" spans="11:14" x14ac:dyDescent="0.2">
      <c r="K427" s="34"/>
      <c r="L427" s="34"/>
      <c r="M427" s="34"/>
      <c r="N427" s="34"/>
    </row>
    <row r="428" spans="11:14" x14ac:dyDescent="0.2">
      <c r="K428" s="34"/>
      <c r="L428" s="34"/>
      <c r="M428" s="34"/>
      <c r="N428" s="34"/>
    </row>
    <row r="429" spans="11:14" x14ac:dyDescent="0.2">
      <c r="K429" s="34"/>
      <c r="L429" s="34"/>
      <c r="M429" s="34"/>
      <c r="N429" s="34"/>
    </row>
    <row r="430" spans="11:14" x14ac:dyDescent="0.2">
      <c r="K430" s="34"/>
      <c r="L430" s="34"/>
      <c r="M430" s="34"/>
      <c r="N430" s="34"/>
    </row>
    <row r="431" spans="11:14" x14ac:dyDescent="0.2">
      <c r="K431" s="34"/>
      <c r="L431" s="34"/>
      <c r="M431" s="34"/>
      <c r="N431" s="34"/>
    </row>
    <row r="432" spans="11:14" x14ac:dyDescent="0.2">
      <c r="K432" s="34"/>
      <c r="L432" s="34"/>
      <c r="M432" s="34"/>
      <c r="N432" s="34"/>
    </row>
    <row r="433" spans="11:14" x14ac:dyDescent="0.2">
      <c r="K433" s="34"/>
      <c r="L433" s="34"/>
      <c r="M433" s="34"/>
      <c r="N433" s="34"/>
    </row>
    <row r="434" spans="11:14" x14ac:dyDescent="0.2">
      <c r="K434" s="34"/>
      <c r="L434" s="34"/>
      <c r="M434" s="34"/>
      <c r="N434" s="34"/>
    </row>
    <row r="435" spans="11:14" x14ac:dyDescent="0.2">
      <c r="K435" s="34"/>
      <c r="L435" s="34"/>
      <c r="M435" s="34"/>
      <c r="N435" s="34"/>
    </row>
    <row r="436" spans="11:14" x14ac:dyDescent="0.2">
      <c r="K436" s="34"/>
      <c r="L436" s="34"/>
      <c r="M436" s="34"/>
      <c r="N436" s="34"/>
    </row>
    <row r="437" spans="11:14" x14ac:dyDescent="0.2">
      <c r="K437" s="34"/>
      <c r="L437" s="34"/>
      <c r="M437" s="34"/>
      <c r="N437" s="34"/>
    </row>
    <row r="438" spans="11:14" x14ac:dyDescent="0.2">
      <c r="K438" s="34"/>
      <c r="L438" s="34"/>
      <c r="M438" s="34"/>
      <c r="N438" s="34"/>
    </row>
    <row r="439" spans="11:14" x14ac:dyDescent="0.2">
      <c r="K439" s="34"/>
      <c r="L439" s="34"/>
      <c r="M439" s="34"/>
      <c r="N439" s="34"/>
    </row>
    <row r="440" spans="11:14" x14ac:dyDescent="0.2">
      <c r="K440" s="34"/>
      <c r="L440" s="34"/>
      <c r="M440" s="34"/>
      <c r="N440" s="34"/>
    </row>
    <row r="441" spans="11:14" x14ac:dyDescent="0.2">
      <c r="K441" s="34"/>
      <c r="L441" s="34"/>
      <c r="M441" s="34"/>
      <c r="N441" s="34"/>
    </row>
    <row r="442" spans="11:14" x14ac:dyDescent="0.2">
      <c r="K442" s="34"/>
      <c r="L442" s="34"/>
      <c r="M442" s="34"/>
      <c r="N442" s="34"/>
    </row>
    <row r="443" spans="11:14" x14ac:dyDescent="0.2">
      <c r="K443" s="34"/>
      <c r="L443" s="34"/>
      <c r="M443" s="34"/>
      <c r="N443" s="34"/>
    </row>
    <row r="444" spans="11:14" x14ac:dyDescent="0.2">
      <c r="K444" s="34"/>
      <c r="L444" s="34"/>
      <c r="M444" s="34"/>
      <c r="N444" s="34"/>
    </row>
    <row r="445" spans="11:14" x14ac:dyDescent="0.2">
      <c r="K445" s="34"/>
      <c r="L445" s="34"/>
      <c r="M445" s="34"/>
      <c r="N445" s="34"/>
    </row>
    <row r="446" spans="11:14" x14ac:dyDescent="0.2">
      <c r="K446" s="34"/>
      <c r="L446" s="34"/>
      <c r="M446" s="34"/>
      <c r="N446" s="34"/>
    </row>
    <row r="447" spans="11:14" x14ac:dyDescent="0.2">
      <c r="K447" s="34"/>
      <c r="L447" s="34"/>
      <c r="M447" s="34"/>
      <c r="N447" s="34"/>
    </row>
    <row r="448" spans="11:14" x14ac:dyDescent="0.2">
      <c r="K448" s="34"/>
      <c r="L448" s="34"/>
      <c r="M448" s="34"/>
      <c r="N448" s="34"/>
    </row>
    <row r="449" spans="11:14" x14ac:dyDescent="0.2">
      <c r="K449" s="34"/>
      <c r="L449" s="34"/>
      <c r="M449" s="34"/>
      <c r="N449" s="34"/>
    </row>
    <row r="450" spans="11:14" x14ac:dyDescent="0.2">
      <c r="K450" s="34"/>
      <c r="L450" s="34"/>
      <c r="M450" s="34"/>
      <c r="N450" s="34"/>
    </row>
    <row r="451" spans="11:14" x14ac:dyDescent="0.2">
      <c r="K451" s="34"/>
      <c r="L451" s="34"/>
      <c r="M451" s="34"/>
      <c r="N451" s="34"/>
    </row>
    <row r="452" spans="11:14" x14ac:dyDescent="0.2">
      <c r="K452" s="34"/>
      <c r="L452" s="34"/>
      <c r="M452" s="34"/>
      <c r="N452" s="34"/>
    </row>
    <row r="453" spans="11:14" x14ac:dyDescent="0.2">
      <c r="K453" s="34"/>
      <c r="L453" s="34"/>
      <c r="M453" s="34"/>
      <c r="N453" s="34"/>
    </row>
    <row r="454" spans="11:14" x14ac:dyDescent="0.2">
      <c r="K454" s="34"/>
      <c r="L454" s="34"/>
      <c r="M454" s="34"/>
      <c r="N454" s="34"/>
    </row>
    <row r="455" spans="11:14" x14ac:dyDescent="0.2">
      <c r="K455" s="34"/>
      <c r="L455" s="34"/>
      <c r="M455" s="34"/>
      <c r="N455" s="34"/>
    </row>
    <row r="456" spans="11:14" x14ac:dyDescent="0.2">
      <c r="K456" s="34"/>
      <c r="L456" s="34"/>
      <c r="M456" s="34"/>
      <c r="N456" s="34"/>
    </row>
    <row r="457" spans="11:14" x14ac:dyDescent="0.2">
      <c r="K457" s="34"/>
      <c r="L457" s="34"/>
      <c r="M457" s="34"/>
      <c r="N457" s="34"/>
    </row>
    <row r="458" spans="11:14" x14ac:dyDescent="0.2">
      <c r="K458" s="34"/>
      <c r="L458" s="34"/>
      <c r="M458" s="34"/>
      <c r="N458" s="34"/>
    </row>
    <row r="459" spans="11:14" x14ac:dyDescent="0.2">
      <c r="K459" s="34"/>
      <c r="L459" s="34"/>
      <c r="M459" s="34"/>
      <c r="N459" s="34"/>
    </row>
    <row r="460" spans="11:14" x14ac:dyDescent="0.2">
      <c r="K460" s="34"/>
      <c r="L460" s="34"/>
      <c r="M460" s="34"/>
      <c r="N460" s="34"/>
    </row>
    <row r="461" spans="11:14" x14ac:dyDescent="0.2">
      <c r="K461" s="34"/>
      <c r="L461" s="34"/>
      <c r="M461" s="34"/>
      <c r="N461" s="34"/>
    </row>
    <row r="462" spans="11:14" x14ac:dyDescent="0.2">
      <c r="K462" s="34"/>
      <c r="L462" s="34"/>
      <c r="M462" s="34"/>
      <c r="N462" s="34"/>
    </row>
    <row r="463" spans="11:14" x14ac:dyDescent="0.2">
      <c r="K463" s="34"/>
      <c r="L463" s="34"/>
      <c r="M463" s="34"/>
      <c r="N463" s="34"/>
    </row>
    <row r="464" spans="11:14" x14ac:dyDescent="0.2">
      <c r="K464" s="34"/>
      <c r="L464" s="34"/>
      <c r="M464" s="34"/>
      <c r="N464" s="34"/>
    </row>
    <row r="465" spans="11:14" x14ac:dyDescent="0.2">
      <c r="K465" s="34"/>
      <c r="L465" s="34"/>
      <c r="M465" s="34"/>
      <c r="N465" s="34"/>
    </row>
    <row r="466" spans="11:14" x14ac:dyDescent="0.2">
      <c r="K466" s="34"/>
      <c r="L466" s="34"/>
      <c r="M466" s="34"/>
      <c r="N466" s="34"/>
    </row>
    <row r="467" spans="11:14" x14ac:dyDescent="0.2">
      <c r="K467" s="34"/>
      <c r="L467" s="34"/>
      <c r="M467" s="34"/>
      <c r="N467" s="34"/>
    </row>
    <row r="468" spans="11:14" x14ac:dyDescent="0.2">
      <c r="K468" s="34"/>
      <c r="L468" s="34"/>
      <c r="M468" s="34"/>
      <c r="N468" s="34"/>
    </row>
    <row r="469" spans="11:14" x14ac:dyDescent="0.2">
      <c r="K469" s="34"/>
      <c r="L469" s="34"/>
      <c r="M469" s="34"/>
      <c r="N469" s="34"/>
    </row>
    <row r="470" spans="11:14" x14ac:dyDescent="0.2">
      <c r="K470" s="34"/>
      <c r="L470" s="34"/>
      <c r="M470" s="34"/>
      <c r="N470" s="34"/>
    </row>
    <row r="471" spans="11:14" x14ac:dyDescent="0.2">
      <c r="K471" s="34"/>
      <c r="L471" s="34"/>
      <c r="M471" s="34"/>
      <c r="N471" s="34"/>
    </row>
    <row r="472" spans="11:14" x14ac:dyDescent="0.2">
      <c r="K472" s="34"/>
      <c r="L472" s="34"/>
      <c r="M472" s="34"/>
      <c r="N472" s="34"/>
    </row>
    <row r="473" spans="11:14" x14ac:dyDescent="0.2">
      <c r="K473" s="34"/>
      <c r="L473" s="34"/>
      <c r="M473" s="34"/>
      <c r="N473" s="34"/>
    </row>
    <row r="474" spans="11:14" x14ac:dyDescent="0.2">
      <c r="K474" s="34"/>
      <c r="L474" s="34"/>
      <c r="M474" s="34"/>
      <c r="N474" s="34"/>
    </row>
    <row r="475" spans="11:14" x14ac:dyDescent="0.2">
      <c r="K475" s="34"/>
      <c r="L475" s="34"/>
      <c r="M475" s="34"/>
      <c r="N475" s="34"/>
    </row>
    <row r="476" spans="11:14" x14ac:dyDescent="0.2">
      <c r="K476" s="34"/>
      <c r="L476" s="34"/>
      <c r="M476" s="34"/>
      <c r="N476" s="34"/>
    </row>
    <row r="477" spans="11:14" x14ac:dyDescent="0.2">
      <c r="K477" s="34"/>
      <c r="L477" s="34"/>
      <c r="M477" s="34"/>
      <c r="N477" s="34"/>
    </row>
    <row r="478" spans="11:14" x14ac:dyDescent="0.2">
      <c r="K478" s="34"/>
      <c r="L478" s="34"/>
      <c r="M478" s="34"/>
      <c r="N478" s="34"/>
    </row>
    <row r="479" spans="11:14" x14ac:dyDescent="0.2">
      <c r="K479" s="34"/>
      <c r="L479" s="34"/>
      <c r="M479" s="34"/>
      <c r="N479" s="34"/>
    </row>
    <row r="480" spans="11:14" x14ac:dyDescent="0.2">
      <c r="K480" s="34"/>
      <c r="L480" s="34"/>
      <c r="M480" s="34"/>
      <c r="N480" s="34"/>
    </row>
    <row r="481" spans="11:14" x14ac:dyDescent="0.2">
      <c r="K481" s="34"/>
      <c r="L481" s="34"/>
      <c r="M481" s="34"/>
      <c r="N481" s="34"/>
    </row>
    <row r="482" spans="11:14" x14ac:dyDescent="0.2">
      <c r="K482" s="34"/>
      <c r="L482" s="34"/>
      <c r="M482" s="34"/>
      <c r="N482" s="34"/>
    </row>
    <row r="483" spans="11:14" x14ac:dyDescent="0.2">
      <c r="K483" s="34"/>
      <c r="L483" s="34"/>
      <c r="M483" s="34"/>
      <c r="N483" s="34"/>
    </row>
    <row r="484" spans="11:14" x14ac:dyDescent="0.2">
      <c r="K484" s="34"/>
      <c r="L484" s="34"/>
      <c r="M484" s="34"/>
      <c r="N484" s="34"/>
    </row>
    <row r="485" spans="11:14" x14ac:dyDescent="0.2">
      <c r="K485" s="34"/>
      <c r="L485" s="34"/>
      <c r="M485" s="34"/>
      <c r="N485" s="34"/>
    </row>
    <row r="486" spans="11:14" x14ac:dyDescent="0.2">
      <c r="K486" s="34"/>
      <c r="L486" s="34"/>
      <c r="M486" s="34"/>
      <c r="N486" s="34"/>
    </row>
    <row r="487" spans="11:14" x14ac:dyDescent="0.2">
      <c r="K487" s="34"/>
      <c r="L487" s="34"/>
      <c r="M487" s="34"/>
      <c r="N487" s="34"/>
    </row>
    <row r="488" spans="11:14" x14ac:dyDescent="0.2">
      <c r="K488" s="34"/>
      <c r="L488" s="34"/>
      <c r="M488" s="34"/>
      <c r="N488" s="34"/>
    </row>
    <row r="489" spans="11:14" x14ac:dyDescent="0.2">
      <c r="K489" s="34"/>
      <c r="L489" s="34"/>
      <c r="M489" s="34"/>
      <c r="N489" s="34"/>
    </row>
    <row r="490" spans="11:14" x14ac:dyDescent="0.2">
      <c r="K490" s="34"/>
      <c r="L490" s="34"/>
      <c r="M490" s="34"/>
      <c r="N490" s="34"/>
    </row>
    <row r="491" spans="11:14" x14ac:dyDescent="0.2">
      <c r="K491" s="34"/>
      <c r="L491" s="34"/>
      <c r="M491" s="34"/>
      <c r="N491" s="34"/>
    </row>
    <row r="492" spans="11:14" x14ac:dyDescent="0.2">
      <c r="K492" s="34"/>
      <c r="L492" s="34"/>
      <c r="M492" s="34"/>
      <c r="N492" s="34"/>
    </row>
    <row r="493" spans="11:14" x14ac:dyDescent="0.2">
      <c r="K493" s="34"/>
      <c r="L493" s="34"/>
      <c r="M493" s="34"/>
      <c r="N493" s="34"/>
    </row>
    <row r="494" spans="11:14" x14ac:dyDescent="0.2">
      <c r="K494" s="34"/>
      <c r="L494" s="34"/>
      <c r="M494" s="34"/>
      <c r="N494" s="34"/>
    </row>
    <row r="495" spans="11:14" x14ac:dyDescent="0.2">
      <c r="K495" s="34"/>
      <c r="L495" s="34"/>
      <c r="M495" s="34"/>
      <c r="N495" s="34"/>
    </row>
    <row r="496" spans="11:14" x14ac:dyDescent="0.2">
      <c r="K496" s="34"/>
      <c r="L496" s="34"/>
      <c r="M496" s="34"/>
      <c r="N496" s="34"/>
    </row>
    <row r="497" spans="11:14" x14ac:dyDescent="0.2">
      <c r="K497" s="34"/>
      <c r="L497" s="34"/>
      <c r="M497" s="34"/>
      <c r="N497" s="34"/>
    </row>
    <row r="498" spans="11:14" x14ac:dyDescent="0.2">
      <c r="K498" s="34"/>
      <c r="L498" s="34"/>
      <c r="M498" s="34"/>
      <c r="N498" s="34"/>
    </row>
    <row r="499" spans="11:14" x14ac:dyDescent="0.2">
      <c r="K499" s="34"/>
      <c r="L499" s="34"/>
      <c r="M499" s="34"/>
      <c r="N499" s="34"/>
    </row>
    <row r="500" spans="11:14" x14ac:dyDescent="0.2">
      <c r="K500" s="34"/>
      <c r="L500" s="34"/>
      <c r="M500" s="34"/>
      <c r="N500" s="3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26E3E-B129-4696-B1AE-2AEBA656F0FA}">
  <sheetPr codeName="Planilha4">
    <tabColor rgb="FFFF0000"/>
  </sheetPr>
  <dimension ref="A3:AS500"/>
  <sheetViews>
    <sheetView showGridLines="0" showRowColHeaders="0" zoomScaleNormal="100" workbookViewId="0">
      <selection activeCell="AH17" sqref="AH17"/>
    </sheetView>
  </sheetViews>
  <sheetFormatPr baseColWidth="10" defaultColWidth="11.83203125" defaultRowHeight="15" x14ac:dyDescent="0.2"/>
  <cols>
    <col min="1" max="1" width="5.83203125" customWidth="1"/>
    <col min="2" max="2" width="16.33203125" bestFit="1" customWidth="1"/>
    <col min="3" max="3" width="14.33203125" bestFit="1" customWidth="1"/>
    <col min="4" max="4" width="19" bestFit="1" customWidth="1"/>
    <col min="5" max="5" width="22.33203125" bestFit="1" customWidth="1"/>
    <col min="6" max="6" width="17.1640625" bestFit="1" customWidth="1"/>
    <col min="7" max="7" width="4.6640625" bestFit="1" customWidth="1"/>
    <col min="8" max="9" width="20.1640625" bestFit="1" customWidth="1"/>
    <col min="10" max="10" width="24.1640625" bestFit="1" customWidth="1"/>
    <col min="11" max="11" width="6.83203125" bestFit="1" customWidth="1"/>
    <col min="12" max="12" width="24.1640625" bestFit="1" customWidth="1"/>
    <col min="13" max="13" width="13.6640625" bestFit="1" customWidth="1"/>
    <col min="14" max="14" width="19" bestFit="1" customWidth="1"/>
    <col min="15" max="15" width="4.6640625" bestFit="1" customWidth="1"/>
    <col min="16" max="23" width="16.1640625" bestFit="1" customWidth="1"/>
    <col min="24" max="24" width="17.1640625" bestFit="1" customWidth="1"/>
    <col min="25" max="33" width="10.33203125" bestFit="1" customWidth="1"/>
    <col min="34" max="34" width="11.33203125" bestFit="1" customWidth="1"/>
    <col min="35" max="43" width="16.6640625" bestFit="1" customWidth="1"/>
    <col min="44" max="44" width="17.6640625" bestFit="1" customWidth="1"/>
  </cols>
  <sheetData>
    <row r="3" spans="1:44" ht="16" x14ac:dyDescent="0.2">
      <c r="Q3" s="21"/>
      <c r="R3" s="21"/>
    </row>
    <row r="4" spans="1:44" ht="16" x14ac:dyDescent="0.2">
      <c r="M4" s="22" t="s">
        <v>45</v>
      </c>
      <c r="N4" s="22"/>
      <c r="O4" s="23"/>
      <c r="P4" s="23"/>
      <c r="S4" s="23" t="s">
        <v>46</v>
      </c>
      <c r="Y4" s="21"/>
      <c r="Z4" s="24"/>
      <c r="AA4" s="21"/>
      <c r="AC4" s="21" t="s">
        <v>47</v>
      </c>
      <c r="AE4" s="21"/>
      <c r="AF4" s="24"/>
      <c r="AG4" s="21"/>
      <c r="AH4" s="24"/>
      <c r="AM4" s="24" t="s">
        <v>48</v>
      </c>
    </row>
    <row r="5" spans="1:44" ht="16" x14ac:dyDescent="0.2">
      <c r="B5" s="25" t="s">
        <v>49</v>
      </c>
      <c r="C5" s="25" t="s">
        <v>50</v>
      </c>
      <c r="D5" s="26" t="s">
        <v>1</v>
      </c>
      <c r="E5" s="26" t="s">
        <v>51</v>
      </c>
      <c r="F5" s="25" t="s">
        <v>52</v>
      </c>
      <c r="G5" s="27" t="s">
        <v>53</v>
      </c>
      <c r="H5" s="27" t="s">
        <v>54</v>
      </c>
      <c r="I5" s="27" t="s">
        <v>55</v>
      </c>
      <c r="J5" s="27" t="s">
        <v>56</v>
      </c>
      <c r="K5" s="27" t="s">
        <v>57</v>
      </c>
      <c r="L5" s="25" t="s">
        <v>58</v>
      </c>
      <c r="M5" s="25" t="s">
        <v>59</v>
      </c>
      <c r="N5" s="25" t="s">
        <v>60</v>
      </c>
      <c r="O5" s="26" t="s">
        <v>11</v>
      </c>
      <c r="P5" s="26" t="s">
        <v>16</v>
      </c>
      <c r="Q5" s="28" t="s">
        <v>22</v>
      </c>
      <c r="R5" s="29" t="s">
        <v>27</v>
      </c>
      <c r="S5" s="29" t="s">
        <v>31</v>
      </c>
      <c r="T5" s="28" t="s">
        <v>33</v>
      </c>
      <c r="U5" s="28" t="s">
        <v>35</v>
      </c>
      <c r="V5" s="28" t="s">
        <v>37</v>
      </c>
      <c r="W5" s="28" t="s">
        <v>39</v>
      </c>
      <c r="X5" s="28" t="s">
        <v>40</v>
      </c>
      <c r="Y5" s="30" t="s">
        <v>42</v>
      </c>
      <c r="Z5" s="30" t="s">
        <v>43</v>
      </c>
      <c r="AA5" s="30" t="s">
        <v>61</v>
      </c>
      <c r="AB5" s="30" t="s">
        <v>62</v>
      </c>
      <c r="AC5" s="30" t="s">
        <v>63</v>
      </c>
      <c r="AD5" s="30" t="s">
        <v>64</v>
      </c>
      <c r="AE5" s="30" t="s">
        <v>65</v>
      </c>
      <c r="AF5" s="30" t="s">
        <v>66</v>
      </c>
      <c r="AG5" s="30" t="s">
        <v>67</v>
      </c>
      <c r="AH5" s="30" t="s">
        <v>68</v>
      </c>
      <c r="AI5" s="31" t="s">
        <v>69</v>
      </c>
      <c r="AJ5" s="31" t="s">
        <v>70</v>
      </c>
      <c r="AK5" s="31" t="s">
        <v>71</v>
      </c>
      <c r="AL5" s="31" t="s">
        <v>72</v>
      </c>
      <c r="AM5" s="31" t="s">
        <v>73</v>
      </c>
      <c r="AN5" s="31" t="s">
        <v>74</v>
      </c>
      <c r="AO5" s="31" t="s">
        <v>75</v>
      </c>
      <c r="AP5" s="31" t="s">
        <v>76</v>
      </c>
      <c r="AQ5" s="31" t="s">
        <v>77</v>
      </c>
      <c r="AR5" s="31" t="s">
        <v>78</v>
      </c>
    </row>
    <row r="6" spans="1:44" ht="16" x14ac:dyDescent="0.2">
      <c r="A6" s="117">
        <v>1</v>
      </c>
      <c r="B6" s="132" t="s">
        <v>79</v>
      </c>
      <c r="C6" s="133">
        <f>Jan!C$4</f>
        <v>2000</v>
      </c>
      <c r="D6" s="103">
        <f>Jan!G$4</f>
        <v>0</v>
      </c>
      <c r="E6" s="103">
        <f>Jan!L$4</f>
        <v>0</v>
      </c>
      <c r="F6" s="110">
        <f>D6+E6</f>
        <v>0</v>
      </c>
      <c r="G6" s="142">
        <f>SUMIF(Jan!$Y$24:$Y$28,"Invest1",Jan!$C$24:$C$28)</f>
        <v>0</v>
      </c>
      <c r="H6" s="142">
        <f>SUMIF(Jan!$Y$24:$Y$28,"Invest2",Jan!$C$24:$C$28)</f>
        <v>0</v>
      </c>
      <c r="I6" s="142">
        <f>SUMIF(Jan!$Y$24:$Y$28,"Invest3",Jan!$C$24:$C$28)</f>
        <v>0</v>
      </c>
      <c r="J6" s="104">
        <f>SUMIF(Jan!$Y$24:$Y$28,"Invest4",Jan!$C$24:$C$28)</f>
        <v>0</v>
      </c>
      <c r="K6" s="142">
        <f>SUMIF(Jan!$Y$24:$Y$28,"Invest5",Jan!$C$24:$C$28)</f>
        <v>0</v>
      </c>
      <c r="L6" s="133">
        <f>Jan!C$22</f>
        <v>0</v>
      </c>
      <c r="M6" s="149">
        <f>Jan!C$31</f>
        <v>0</v>
      </c>
      <c r="N6" s="150">
        <f t="shared" ref="N6:N17" si="0">C6-F6</f>
        <v>2000</v>
      </c>
      <c r="O6" s="103">
        <f>SUMIF(JanCatDv,Tabelas!O5,JanDV[[#All],[Coluna2]])</f>
        <v>0</v>
      </c>
      <c r="P6" s="162">
        <f>SUMIF(JanCatDv,Tabelas!P5,JanDV[[#All],[Coluna2]])</f>
        <v>0</v>
      </c>
      <c r="Q6" s="162">
        <f>SUMIF(JanCatDv,Tabelas!Q5,JanDV[[#All],[Coluna2]])</f>
        <v>0</v>
      </c>
      <c r="R6" s="162">
        <f>SUMIF(JanCatDv,Tabelas!R5,JanDV[[#All],[Coluna2]])</f>
        <v>0</v>
      </c>
      <c r="S6" s="103">
        <f>SUMIF(JanCatDv,Tabelas!S5,JanDV[[#All],[Coluna2]])</f>
        <v>0</v>
      </c>
      <c r="T6" s="103">
        <f>SUMIF(JanCatDv,Tabelas!T5,JanDV[[#All],[Coluna2]])</f>
        <v>0</v>
      </c>
      <c r="U6" s="103">
        <f>SUMIF(JanCatDv,Tabelas!U5,JanDV[[#All],[Coluna2]])</f>
        <v>0</v>
      </c>
      <c r="V6" s="103">
        <f>SUMIF(JanCatDv,Tabelas!V5,JanDV[[#All],[Coluna2]])</f>
        <v>0</v>
      </c>
      <c r="W6" s="103">
        <f>SUMIF(JanCatDv,Tabelas!W5,JanDV[[#All],[Coluna2]])</f>
        <v>0</v>
      </c>
      <c r="X6" s="103">
        <f>SUMIF(JanCatDv,Tabelas!X5,JanDV[[#All],[Coluna2]])</f>
        <v>0</v>
      </c>
      <c r="Y6" s="105">
        <f>IF(Jan!$H$6="-",0,IF(Jan!$H$6="",0,1))</f>
        <v>0</v>
      </c>
      <c r="Z6" s="105">
        <f>IF(Jan!$H$7="-",0,IF(Jan!$H$7="",0,1))</f>
        <v>0</v>
      </c>
      <c r="AA6" s="105">
        <f>IF(Jan!$H$8="-",0,IF(Jan!$H$8="",0,1))</f>
        <v>0</v>
      </c>
      <c r="AB6" s="105">
        <f>IF(Jan!$H$9="-",0,IF(Jan!$H$9="",0,1))</f>
        <v>0</v>
      </c>
      <c r="AC6" s="105">
        <f>IF(Jan!$H$10="-",0,IF(Jan!$H$10="",0,1))</f>
        <v>0</v>
      </c>
      <c r="AD6" s="105">
        <f>IF(Jan!$H$11="-",0,IF(Jan!$H$11="",0,1))</f>
        <v>0</v>
      </c>
      <c r="AE6" s="105">
        <f>IF(Jan!$H$12="-",0,IF(Jan!$H$12="",0,1))</f>
        <v>0</v>
      </c>
      <c r="AF6" s="105">
        <f>IF(Jan!$H$13="-",0,IF(Jan!$H$13="",0,1))</f>
        <v>0</v>
      </c>
      <c r="AG6" s="105">
        <f>IF(Jan!$H$14="-",0,IF(Jan!$H$14="",0,1))</f>
        <v>0</v>
      </c>
      <c r="AH6" s="105">
        <f>IF(Jan!$H$15="-",0,IF(Jan!$H$15="",0,1))</f>
        <v>0</v>
      </c>
      <c r="AI6" s="106">
        <f>JanDF[[#This Row],[Coluna2]]</f>
        <v>0</v>
      </c>
      <c r="AJ6" s="20" cm="1">
        <f t="array" aca="1" ref="AJ6" ca="1">INDIRECT("Jan!G" &amp; COLUMN(A1) + 6)</f>
        <v>0</v>
      </c>
      <c r="AK6" s="20" cm="1">
        <f t="array" aca="1" ref="AK6" ca="1">INDIRECT("Jan!G" &amp; COLUMN(B1) + 6)</f>
        <v>0</v>
      </c>
      <c r="AL6" s="20" cm="1">
        <f t="array" aca="1" ref="AL6" ca="1">INDIRECT("Jan!G" &amp; COLUMN(C1) + 6)</f>
        <v>0</v>
      </c>
      <c r="AM6" s="20" cm="1">
        <f t="array" aca="1" ref="AM6" ca="1">INDIRECT("Jan!G" &amp; COLUMN(D1) + 6)</f>
        <v>0</v>
      </c>
      <c r="AN6" s="20" cm="1">
        <f t="array" aca="1" ref="AN6" ca="1">INDIRECT("Jan!G" &amp; COLUMN(E1) + 6)</f>
        <v>0</v>
      </c>
      <c r="AO6" s="20" cm="1">
        <f t="array" aca="1" ref="AO6" ca="1">INDIRECT("Jan!G" &amp; COLUMN(F1) + 6)</f>
        <v>0</v>
      </c>
      <c r="AP6" s="20" cm="1">
        <f t="array" aca="1" ref="AP6" ca="1">INDIRECT("Jan!G" &amp; COLUMN(G1) + 6)</f>
        <v>0</v>
      </c>
      <c r="AQ6" s="20" cm="1">
        <f t="array" aca="1" ref="AQ6" ca="1">INDIRECT("Jan!G" &amp; COLUMN(H1) + 6)</f>
        <v>0</v>
      </c>
      <c r="AR6" s="20" cm="1">
        <f t="array" aca="1" ref="AR6" ca="1">INDIRECT("Jan!G" &amp; COLUMN(I1) + 6)</f>
        <v>0</v>
      </c>
    </row>
    <row r="7" spans="1:44" ht="16" x14ac:dyDescent="0.2">
      <c r="A7" s="117">
        <v>2</v>
      </c>
      <c r="B7" s="132" t="s">
        <v>80</v>
      </c>
      <c r="C7" s="133">
        <f>Fev!C$4</f>
        <v>2000</v>
      </c>
      <c r="D7" s="103">
        <f>Fev!G$4</f>
        <v>0</v>
      </c>
      <c r="E7" s="103">
        <f>Fev!L$4</f>
        <v>0</v>
      </c>
      <c r="F7" s="110">
        <f t="shared" ref="F7:F17" si="1">D7+E7</f>
        <v>0</v>
      </c>
      <c r="G7" s="142">
        <f>SUMIF(Fev!$Y$24:$Y$28,"Invest1",Fev!$C$24:$C$28)</f>
        <v>0</v>
      </c>
      <c r="H7" s="142">
        <f>SUMIF(Fev!$Y$24:$Y$28,"Invest2",Fev!$C$24:$C$28)</f>
        <v>0</v>
      </c>
      <c r="I7" s="142">
        <f>SUMIF(Fev!$Y$24:$Y$28,"Invest3",Fev!$C$24:$C$28)</f>
        <v>0</v>
      </c>
      <c r="J7" s="104">
        <f>SUMIF(Fev!$Y$24:$Y$28,"Invest4",Fev!$C$24:$C$28)</f>
        <v>0</v>
      </c>
      <c r="K7" s="142">
        <f>SUMIF(Fev!$Y$24:$Y$28,"Invest5",Fev!$C$24:$C$28)</f>
        <v>0</v>
      </c>
      <c r="L7" s="133">
        <f>Fev!C$22</f>
        <v>0</v>
      </c>
      <c r="M7" s="149">
        <f>Fev!C$31</f>
        <v>0</v>
      </c>
      <c r="N7" s="150">
        <f t="shared" si="0"/>
        <v>2000</v>
      </c>
      <c r="O7" s="103">
        <f>SUMIF(Fev!FevCatDv,Tabelas!O5,Fev!$L$6:$L$500)</f>
        <v>0</v>
      </c>
      <c r="P7" s="103">
        <f>SUMIF(Fev!FevCatDv,Tabelas!P5,Fev!$L$6:$L$500)</f>
        <v>0</v>
      </c>
      <c r="Q7" s="103">
        <f>SUMIF(Fev!FevCatDv,Tabelas!Q5,Fev!$L$6:$L$500)</f>
        <v>0</v>
      </c>
      <c r="R7" s="103">
        <f>SUMIF(Fev!FevCatDv,Tabelas!R5,Fev!$L$6:$L$500)</f>
        <v>0</v>
      </c>
      <c r="S7" s="103">
        <f>SUMIF(Fev!FevCatDv,Tabelas!S5,Fev!$L$6:$L$500)</f>
        <v>0</v>
      </c>
      <c r="T7" s="103">
        <f>SUMIF(Fev!FevCatDv,Tabelas!T5,Fev!$L$6:$L$500)</f>
        <v>0</v>
      </c>
      <c r="U7" s="103">
        <f>SUMIF(Fev!FevCatDv,Tabelas!U5,Fev!$L$6:$L$500)</f>
        <v>0</v>
      </c>
      <c r="V7" s="103">
        <f>SUMIF(Fev!FevCatDv,Tabelas!V5,Fev!$L$6:$L$500)</f>
        <v>0</v>
      </c>
      <c r="W7" s="103">
        <f>SUMIF(Fev!FevCatDv,Tabelas!W5,Fev!$L$6:$L$500)</f>
        <v>0</v>
      </c>
      <c r="X7" s="103">
        <f>SUMIF(Fev!FevCatDv,Tabelas!X5,Fev!$L$6:$L$500)</f>
        <v>0</v>
      </c>
      <c r="Y7" s="105">
        <f>IF(Fev!$H$6="-",0,IF(Fev!$H$6="",0,1))</f>
        <v>0</v>
      </c>
      <c r="Z7" s="105">
        <f>IF(Fev!$H$7="-",0,IF(Fev!$H$7="",0,1))</f>
        <v>0</v>
      </c>
      <c r="AA7" s="105">
        <f>IF(Fev!$H$8="-",0,IF(Fev!$H$8="",0,1))</f>
        <v>0</v>
      </c>
      <c r="AB7" s="105">
        <f>IF(Fev!$H$9="-",0,IF(Fev!$H$9="",0,1))</f>
        <v>0</v>
      </c>
      <c r="AC7" s="105">
        <f>IF(Fev!$H$10="-",0,IF(Fev!$H$10="",0,1))</f>
        <v>0</v>
      </c>
      <c r="AD7" s="105">
        <f>IF(Fev!$H$11="-",0,IF(Fev!$H$11="",0,1))</f>
        <v>0</v>
      </c>
      <c r="AE7" s="105">
        <f>IF(Fev!$H$12="-",0,IF(Fev!$H$12="",0,1))</f>
        <v>0</v>
      </c>
      <c r="AF7" s="105">
        <f>IF(Fev!$H$13="-",0,IF(Fev!$H$13="",0,1))</f>
        <v>0</v>
      </c>
      <c r="AG7" s="105">
        <f>IF(Fev!$H$14="-",0,IF(Fev!$H$14="",0,1))</f>
        <v>0</v>
      </c>
      <c r="AH7" s="105">
        <f>IF(Fev!$H$15="-",0,IF(Fev!$H$15="",0,1))</f>
        <v>0</v>
      </c>
      <c r="AI7" s="20">
        <f>Fev!$G6</f>
        <v>0</v>
      </c>
      <c r="AJ7" s="20" cm="1">
        <f t="array" aca="1" ref="AJ7" ca="1">INDIRECT("Fev!G" &amp; COLUMN(A1) + 6)</f>
        <v>0</v>
      </c>
      <c r="AK7" s="20" cm="1">
        <f t="array" aca="1" ref="AK7" ca="1">INDIRECT("Fev!G" &amp; COLUMN(B1) + 6)</f>
        <v>0</v>
      </c>
      <c r="AL7" s="20" cm="1">
        <f t="array" aca="1" ref="AL7" ca="1">INDIRECT("Fev!G" &amp; COLUMN(C1) + 6)</f>
        <v>0</v>
      </c>
      <c r="AM7" s="20" cm="1">
        <f t="array" aca="1" ref="AM7" ca="1">INDIRECT("Fev!G" &amp; COLUMN(D1) + 6)</f>
        <v>0</v>
      </c>
      <c r="AN7" s="20" cm="1">
        <f t="array" aca="1" ref="AN7" ca="1">INDIRECT("Fev!G" &amp; COLUMN(E1) + 6)</f>
        <v>0</v>
      </c>
      <c r="AO7" s="20" cm="1">
        <f t="array" aca="1" ref="AO7" ca="1">INDIRECT("Fev!G" &amp; COLUMN(F1) + 6)</f>
        <v>0</v>
      </c>
      <c r="AP7" s="20" cm="1">
        <f t="array" aca="1" ref="AP7" ca="1">INDIRECT("Fev!G" &amp; COLUMN(G1) + 6)</f>
        <v>0</v>
      </c>
      <c r="AQ7" s="20" cm="1">
        <f t="array" aca="1" ref="AQ7" ca="1">INDIRECT("Fev!G" &amp; COLUMN(H1) + 6)</f>
        <v>0</v>
      </c>
      <c r="AR7" s="20" cm="1">
        <f t="array" aca="1" ref="AR7" ca="1">INDIRECT("Fev!G" &amp; COLUMN(I1) + 6)</f>
        <v>0</v>
      </c>
    </row>
    <row r="8" spans="1:44" ht="16" x14ac:dyDescent="0.2">
      <c r="A8" s="117">
        <v>3</v>
      </c>
      <c r="B8" s="132" t="s">
        <v>81</v>
      </c>
      <c r="C8" s="133">
        <f>Mar!C$4</f>
        <v>2000</v>
      </c>
      <c r="D8" s="103">
        <f>Mar!G$4</f>
        <v>0</v>
      </c>
      <c r="E8" s="103">
        <f>Mar!L$4</f>
        <v>0</v>
      </c>
      <c r="F8" s="110">
        <f t="shared" si="1"/>
        <v>0</v>
      </c>
      <c r="G8" s="142">
        <f>SUMIF(Mar!$Y$24:$Y$27,"Invest1",Mar!$C$24:$C$28)</f>
        <v>0</v>
      </c>
      <c r="H8" s="142">
        <f>SUMIF(Mar!$Y$24:$Y$27,"Invest2",Mar!$C$24:$C$28)</f>
        <v>0</v>
      </c>
      <c r="I8" s="142">
        <f>SUMIF(Mar!$Y$24:$Y$27,"Invest3",Mar!$C$24:$C$28)</f>
        <v>0</v>
      </c>
      <c r="J8" s="104">
        <f>SUMIF(Mar!$Y$24:$Y$27,"Invest4",Mar!$C$24:$C$28)</f>
        <v>0</v>
      </c>
      <c r="K8" s="142">
        <f>SUMIF(Mar!$Y$24:$Y$27,"Invest5",Mar!$C$24:$C$28)</f>
        <v>0</v>
      </c>
      <c r="L8" s="133">
        <f>Mar!C$22</f>
        <v>0</v>
      </c>
      <c r="M8" s="149">
        <f>Mar!C$31</f>
        <v>0</v>
      </c>
      <c r="N8" s="150">
        <f t="shared" si="0"/>
        <v>2000</v>
      </c>
      <c r="O8" s="103">
        <f>SUMIF(Mar!MarCatDv,Tabelas!O5,MarDV[[#All],[Coluna2]])</f>
        <v>0</v>
      </c>
      <c r="P8" s="103">
        <f>SUMIF(Mar!MarCatDv,Tabelas!P5,MarDV[[#All],[Coluna2]])</f>
        <v>0</v>
      </c>
      <c r="Q8" s="103">
        <f>SUMIF(Mar!MarCatDv,Tabelas!Q5,MarDV[[#All],[Coluna2]])</f>
        <v>0</v>
      </c>
      <c r="R8" s="103">
        <f>SUMIF(Mar!MarCatDv,Tabelas!R5,MarDV[[#All],[Coluna2]])</f>
        <v>0</v>
      </c>
      <c r="S8" s="103">
        <f>SUMIF(Mar!MarCatDv,Tabelas!S5,MarDV[[#All],[Coluna2]])</f>
        <v>0</v>
      </c>
      <c r="T8" s="103">
        <f>SUMIF(Mar!MarCatDv,Tabelas!T5,MarDV[[#All],[Coluna2]])</f>
        <v>0</v>
      </c>
      <c r="U8" s="103">
        <f>SUMIF(Mar!MarCatDv,Tabelas!U5,MarDV[[#All],[Coluna2]])</f>
        <v>0</v>
      </c>
      <c r="V8" s="103">
        <f>SUMIF(Mar!MarCatDv,Tabelas!V5,MarDV[[#All],[Coluna2]])</f>
        <v>0</v>
      </c>
      <c r="W8" s="103">
        <f>SUMIF(Mar!MarCatDv,Tabelas!W5,MarDV[[#All],[Coluna2]])</f>
        <v>0</v>
      </c>
      <c r="X8" s="103">
        <f>SUMIF(Mar!MarCatDv,Tabelas!X5,MarDV[[#All],[Coluna2]])</f>
        <v>0</v>
      </c>
      <c r="Y8" s="105">
        <f>IF(Mar!$H$6="-",0,IF(Mar!$H$6="",0,1))</f>
        <v>0</v>
      </c>
      <c r="Z8" s="105">
        <f>IF(Mar!$H$7="-",0,IF(Mar!$H$7="",0,1))</f>
        <v>0</v>
      </c>
      <c r="AA8" s="105">
        <f>IF(Mar!$H$8="-",0,IF(Mar!$H$8="",0,1))</f>
        <v>0</v>
      </c>
      <c r="AB8" s="105">
        <f>IF(Mar!$H$9="-",0,IF(Mar!$H$9="",0,1))</f>
        <v>0</v>
      </c>
      <c r="AC8" s="105">
        <f>IF(Mar!$H$10="-",0,IF(Mar!$H$10="",0,1))</f>
        <v>0</v>
      </c>
      <c r="AD8" s="105">
        <f>IF(Mar!$H$11="-",0,IF(Mar!$H$11="",0,1))</f>
        <v>0</v>
      </c>
      <c r="AE8" s="105">
        <f>IF(Mar!$H$12="-",0,IF(Mar!$H$12="",0,1))</f>
        <v>0</v>
      </c>
      <c r="AF8" s="105">
        <f>IF(Mar!$H$13="-",0,IF(Mar!$H$13="",0,1))</f>
        <v>0</v>
      </c>
      <c r="AG8" s="105">
        <f>IF(Mar!$H$14="-",0,IF(Mar!$H$14="",0,1))</f>
        <v>0</v>
      </c>
      <c r="AH8" s="105">
        <f>IF(Mar!$H$15="-",0,IF(Mar!$H$15="",0,1))</f>
        <v>0</v>
      </c>
      <c r="AI8" s="20">
        <f>Mar!$G6</f>
        <v>0</v>
      </c>
      <c r="AJ8" s="20" cm="1">
        <f t="array" aca="1" ref="AJ8" ca="1">INDIRECT("Mar!G" &amp; COLUMN(A1) + 6)</f>
        <v>0</v>
      </c>
      <c r="AK8" s="20" cm="1">
        <f t="array" aca="1" ref="AK8" ca="1">INDIRECT("Mar!G" &amp; COLUMN(B1) + 6)</f>
        <v>0</v>
      </c>
      <c r="AL8" s="20" cm="1">
        <f t="array" aca="1" ref="AL8" ca="1">INDIRECT("Mar!G" &amp; COLUMN(C1) + 6)</f>
        <v>0</v>
      </c>
      <c r="AM8" s="20" cm="1">
        <f t="array" aca="1" ref="AM8" ca="1">INDIRECT("Mar!G" &amp; COLUMN(D1) + 6)</f>
        <v>0</v>
      </c>
      <c r="AN8" s="20" cm="1">
        <f t="array" aca="1" ref="AN8" ca="1">INDIRECT("Mar!G" &amp; COLUMN(E1) + 6)</f>
        <v>0</v>
      </c>
      <c r="AO8" s="20" cm="1">
        <f t="array" aca="1" ref="AO8" ca="1">INDIRECT("Mar!G" &amp; COLUMN(F1) + 6)</f>
        <v>0</v>
      </c>
      <c r="AP8" s="20" cm="1">
        <f t="array" aca="1" ref="AP8" ca="1">INDIRECT("Mar!G" &amp; COLUMN(G1) + 6)</f>
        <v>0</v>
      </c>
      <c r="AQ8" s="20" cm="1">
        <f t="array" aca="1" ref="AQ8" ca="1">INDIRECT("Mar!G" &amp; COLUMN(H1) + 6)</f>
        <v>0</v>
      </c>
      <c r="AR8" s="20" cm="1">
        <f t="array" aca="1" ref="AR8" ca="1">INDIRECT("Mar!G" &amp; COLUMN(I1) + 6)</f>
        <v>0</v>
      </c>
    </row>
    <row r="9" spans="1:44" ht="16" x14ac:dyDescent="0.2">
      <c r="A9" s="117">
        <v>4</v>
      </c>
      <c r="B9" s="132" t="s">
        <v>82</v>
      </c>
      <c r="C9" s="133">
        <f>Abr!C$4</f>
        <v>2000</v>
      </c>
      <c r="D9" s="103">
        <f>Abr!G$4</f>
        <v>0</v>
      </c>
      <c r="E9" s="103">
        <f>Abr!L$4</f>
        <v>0</v>
      </c>
      <c r="F9" s="110">
        <f t="shared" si="1"/>
        <v>0</v>
      </c>
      <c r="G9" s="142">
        <f>SUMIF(Abr!$Y$24:$Y$27,"Invest1",Abr!$C$24:$C$28)</f>
        <v>0</v>
      </c>
      <c r="H9" s="142">
        <f>SUMIF(Abr!$Y$24:$Y$27,"Invest2",Abr!$C$24:$C$28)</f>
        <v>0</v>
      </c>
      <c r="I9" s="142">
        <f>SUMIF(Abr!$Y$24:$Y$27,"Invest3",Abr!$C$24:$C$28)</f>
        <v>0</v>
      </c>
      <c r="J9" s="104">
        <f>SUMIF(Abr!$Y$24:$Y$27,"Invest4",Abr!$C$24:$C$28)</f>
        <v>0</v>
      </c>
      <c r="K9" s="142">
        <f>SUMIF(Abr!$Y$24:$Y$27,"Invest5",Abr!$C$24:$C$28)</f>
        <v>0</v>
      </c>
      <c r="L9" s="133">
        <f>Abr!C$22</f>
        <v>0</v>
      </c>
      <c r="M9" s="149">
        <f>Abr!C$31</f>
        <v>0</v>
      </c>
      <c r="N9" s="150">
        <f t="shared" si="0"/>
        <v>2000</v>
      </c>
      <c r="O9" s="103">
        <f>SUMIF(Abr!AbrCatDv,Tabelas!O5,AbrDV[[#All],[Coluna2]])</f>
        <v>0</v>
      </c>
      <c r="P9" s="103">
        <f>SUMIF(Abr!AbrCatDv,Tabelas!P5,AbrDV[[#All],[Coluna2]])</f>
        <v>0</v>
      </c>
      <c r="Q9" s="103">
        <f>SUMIF(Abr!AbrCatDv,Tabelas!Q5,AbrDV[[#All],[Coluna2]])</f>
        <v>0</v>
      </c>
      <c r="R9" s="103">
        <f>SUMIF(Abr!AbrCatDv,Tabelas!R5,AbrDV[[#All],[Coluna2]])</f>
        <v>0</v>
      </c>
      <c r="S9" s="103">
        <f>SUMIF(Abr!AbrCatDv,Tabelas!S5,AbrDV[[#All],[Coluna2]])</f>
        <v>0</v>
      </c>
      <c r="T9" s="103">
        <f>SUMIF(Abr!AbrCatDv,Tabelas!T5,AbrDV[[#All],[Coluna2]])</f>
        <v>0</v>
      </c>
      <c r="U9" s="103">
        <f>SUMIF(Abr!AbrCatDv,Tabelas!U5,AbrDV[[#All],[Coluna2]])</f>
        <v>0</v>
      </c>
      <c r="V9" s="103">
        <f>SUMIF(Abr!AbrCatDv,Tabelas!V5,AbrDV[[#All],[Coluna2]])</f>
        <v>0</v>
      </c>
      <c r="W9" s="103">
        <f>SUMIF(Abr!AbrCatDv,Tabelas!W5,AbrDV[[#All],[Coluna2]])</f>
        <v>0</v>
      </c>
      <c r="X9" s="103">
        <f>SUMIF(Abr!AbrCatDv,Tabelas!X5,AbrDV[[#All],[Coluna2]])</f>
        <v>0</v>
      </c>
      <c r="Y9" s="105">
        <f>IF(Abr!$H$6="-",0,IF(Abr!$H$6="",0,1))</f>
        <v>0</v>
      </c>
      <c r="Z9" s="105">
        <f>IF(Abr!$H$7="-",0,IF(Abr!$H$7="",0,1))</f>
        <v>0</v>
      </c>
      <c r="AA9" s="105">
        <f>IF(Abr!$H$8="-",0,IF(Abr!$H$8="",0,1))</f>
        <v>0</v>
      </c>
      <c r="AB9" s="105">
        <f>IF(Abr!$H$9="-",0,IF(Abr!$H$9="",0,1))</f>
        <v>0</v>
      </c>
      <c r="AC9" s="105">
        <f>IF(Abr!$H$10="-",0,IF(Abr!$H$10="",0,1))</f>
        <v>0</v>
      </c>
      <c r="AD9" s="105">
        <f>IF(Abr!$H$11="-",0,IF(Abr!$H$11="",0,1))</f>
        <v>0</v>
      </c>
      <c r="AE9" s="105">
        <f>IF(Abr!$H$12="-",0,IF(Abr!$H$12="",0,1))</f>
        <v>0</v>
      </c>
      <c r="AF9" s="105">
        <f>IF(Abr!$H$13="-",0,IF(Abr!$H$13="",0,1))</f>
        <v>0</v>
      </c>
      <c r="AG9" s="105">
        <f>IF(Abr!$H$14="-",0,IF(Abr!$H$14="",0,1))</f>
        <v>0</v>
      </c>
      <c r="AH9" s="105">
        <f>IF(Abr!$H$15="-",0,IF(Abr!$H$15="",0,1))</f>
        <v>0</v>
      </c>
      <c r="AI9" s="20">
        <f>Abr!$G6</f>
        <v>0</v>
      </c>
      <c r="AJ9" s="20" cm="1">
        <f t="array" aca="1" ref="AJ9" ca="1">INDIRECT("Abr!G" &amp; COLUMN(A1) + 6)</f>
        <v>0</v>
      </c>
      <c r="AK9" s="20" cm="1">
        <f t="array" aca="1" ref="AK9" ca="1">INDIRECT("Abr!G" &amp; COLUMN(B1) + 6)</f>
        <v>0</v>
      </c>
      <c r="AL9" s="20" cm="1">
        <f t="array" aca="1" ref="AL9" ca="1">INDIRECT("Abr!G" &amp; COLUMN(C1) + 6)</f>
        <v>0</v>
      </c>
      <c r="AM9" s="20" cm="1">
        <f t="array" aca="1" ref="AM9" ca="1">INDIRECT("Abr!G" &amp; COLUMN(D1) + 6)</f>
        <v>0</v>
      </c>
      <c r="AN9" s="20" cm="1">
        <f t="array" aca="1" ref="AN9" ca="1">INDIRECT("Abr!G" &amp; COLUMN(E1) + 6)</f>
        <v>0</v>
      </c>
      <c r="AO9" s="20" cm="1">
        <f t="array" aca="1" ref="AO9" ca="1">INDIRECT("Abr!G" &amp; COLUMN(F1) + 6)</f>
        <v>0</v>
      </c>
      <c r="AP9" s="20" cm="1">
        <f t="array" aca="1" ref="AP9" ca="1">INDIRECT("Abr!G" &amp; COLUMN(G1) + 6)</f>
        <v>0</v>
      </c>
      <c r="AQ9" s="20" cm="1">
        <f t="array" aca="1" ref="AQ9" ca="1">INDIRECT("Abr!G" &amp; COLUMN(H1) + 6)</f>
        <v>0</v>
      </c>
      <c r="AR9" s="20" cm="1">
        <f t="array" aca="1" ref="AR9" ca="1">INDIRECT("Abr!G" &amp; COLUMN(I1) + 6)</f>
        <v>0</v>
      </c>
    </row>
    <row r="10" spans="1:44" ht="16" x14ac:dyDescent="0.2">
      <c r="A10" s="117">
        <v>5</v>
      </c>
      <c r="B10" s="132" t="s">
        <v>83</v>
      </c>
      <c r="C10" s="133">
        <f>Mai!C$4</f>
        <v>2000</v>
      </c>
      <c r="D10" s="103">
        <f>Mai!G$4</f>
        <v>0</v>
      </c>
      <c r="E10" s="103">
        <f>Mai!L$4</f>
        <v>0</v>
      </c>
      <c r="F10" s="110">
        <f t="shared" si="1"/>
        <v>0</v>
      </c>
      <c r="G10" s="142">
        <f>SUMIF(Mai!$Y$24:$Y$27,"Invest1",Mai!$C$24:$C$28)</f>
        <v>0</v>
      </c>
      <c r="H10" s="142">
        <f>SUMIF(Mai!$Y$24:$Y$27,"Invest2",Mai!$C$24:$C$28)</f>
        <v>0</v>
      </c>
      <c r="I10" s="142">
        <f>SUMIF(Mai!$Y$24:$Y$27,"Invest3",Mai!$C$24:$C$28)</f>
        <v>0</v>
      </c>
      <c r="J10" s="104">
        <f>SUMIF(Mai!$Y$24:$Y$27,"Invest4",Mai!$C$24:$C$28)</f>
        <v>0</v>
      </c>
      <c r="K10" s="142">
        <f>SUMIF(Mai!$Y$24:$Y$27,"Invest5",Mai!$C$24:$C$28)</f>
        <v>0</v>
      </c>
      <c r="L10" s="133">
        <f>Mai!C$22</f>
        <v>0</v>
      </c>
      <c r="M10" s="149">
        <f>Mai!C$31</f>
        <v>0</v>
      </c>
      <c r="N10" s="150">
        <f t="shared" si="0"/>
        <v>2000</v>
      </c>
      <c r="O10" s="103">
        <f>SUMIF(Mai!MaiCatDv,Tabelas!O5,Mai!$L$6:$L$500)</f>
        <v>0</v>
      </c>
      <c r="P10" s="103">
        <f>SUMIF(Mai!MaiCatDv,Tabelas!P5,Mai!$L$6:$L$500)</f>
        <v>0</v>
      </c>
      <c r="Q10" s="103">
        <f>SUMIF(Mai!MaiCatDv,Tabelas!Q5,Mai!$L$6:$L$500)</f>
        <v>0</v>
      </c>
      <c r="R10" s="103">
        <f>SUMIF(Mai!MaiCatDv,Tabelas!R5,Mai!$L$6:$L$500)</f>
        <v>0</v>
      </c>
      <c r="S10" s="103">
        <f>SUMIF(Mai!MaiCatDv,Tabelas!S5,Mai!$L$6:$L$500)</f>
        <v>0</v>
      </c>
      <c r="T10" s="103">
        <f>SUMIF(Mai!MaiCatDv,Tabelas!T5,Mai!$L$6:$L$500)</f>
        <v>0</v>
      </c>
      <c r="U10" s="103">
        <f>SUMIF(Mai!MaiCatDv,Tabelas!U5,Mai!$L$6:$L$500)</f>
        <v>0</v>
      </c>
      <c r="V10" s="103">
        <f>SUMIF(Mai!MaiCatDv,Tabelas!V5,Mai!$L$6:$L$500)</f>
        <v>0</v>
      </c>
      <c r="W10" s="103">
        <f>SUMIF(Mai!MaiCatDv,Tabelas!W5,Mai!$L$6:$L$500)</f>
        <v>0</v>
      </c>
      <c r="X10" s="103">
        <f>SUMIF(Mai!MaiCatDv,Tabelas!X5,Mai!$L$6:$L$500)</f>
        <v>0</v>
      </c>
      <c r="Y10" s="105">
        <f>IF(Mai!$H$6="-",0,IF(Mai!$H$6="",0,1))</f>
        <v>0</v>
      </c>
      <c r="Z10" s="105">
        <f>IF(Mai!$H$7="-",0,IF(Mai!$H$7="",0,1))</f>
        <v>0</v>
      </c>
      <c r="AA10" s="105">
        <f>IF(Mai!$H$8="-",0,IF(Mai!$H$8="",0,1))</f>
        <v>0</v>
      </c>
      <c r="AB10" s="105">
        <f>IF(Mai!$H$9="-",0,IF(Mai!$H$9="",0,1))</f>
        <v>0</v>
      </c>
      <c r="AC10" s="105">
        <f>IF(Mai!$H$10="-",0,IF(Mai!$H$10="",0,1))</f>
        <v>0</v>
      </c>
      <c r="AD10" s="105">
        <f>IF(Mai!$H$11="-",0,IF(Mai!$H$11="",0,1))</f>
        <v>0</v>
      </c>
      <c r="AE10" s="105">
        <f>IF(Mai!$H$12="-",0,IF(Mai!$H$12="",0,1))</f>
        <v>0</v>
      </c>
      <c r="AF10" s="105">
        <f>IF(Mai!$H$13="-",0,IF(Mai!$H$13="",0,1))</f>
        <v>0</v>
      </c>
      <c r="AG10" s="105">
        <f>IF(Mai!$H$14="-",0,IF(Mai!$H$14="",0,1))</f>
        <v>0</v>
      </c>
      <c r="AH10" s="105">
        <f>IF(Mai!$H$15="-",0,IF(Mai!$H$15="",0,1))</f>
        <v>0</v>
      </c>
      <c r="AI10" s="20">
        <f>Mai!$G6</f>
        <v>0</v>
      </c>
      <c r="AJ10" s="20" cm="1">
        <f t="array" aca="1" ref="AJ10" ca="1">INDIRECT("Mai!G" &amp; COLUMN(A1) + 6)</f>
        <v>0</v>
      </c>
      <c r="AK10" s="20" cm="1">
        <f t="array" aca="1" ref="AK10" ca="1">INDIRECT("Mai!G" &amp; COLUMN(B1) + 6)</f>
        <v>0</v>
      </c>
      <c r="AL10" s="20" cm="1">
        <f t="array" aca="1" ref="AL10" ca="1">INDIRECT("Mai!G" &amp; COLUMN(C1) + 6)</f>
        <v>0</v>
      </c>
      <c r="AM10" s="20" cm="1">
        <f t="array" aca="1" ref="AM10" ca="1">INDIRECT("Mai!G" &amp; COLUMN(D1) + 6)</f>
        <v>0</v>
      </c>
      <c r="AN10" s="20" cm="1">
        <f t="array" aca="1" ref="AN10" ca="1">INDIRECT("Mai!G" &amp; COLUMN(E1) + 6)</f>
        <v>0</v>
      </c>
      <c r="AO10" s="20" cm="1">
        <f t="array" aca="1" ref="AO10" ca="1">INDIRECT("Mai!G" &amp; COLUMN(F1) + 6)</f>
        <v>0</v>
      </c>
      <c r="AP10" s="20" cm="1">
        <f t="array" aca="1" ref="AP10" ca="1">INDIRECT("Mai!G" &amp; COLUMN(G1) + 6)</f>
        <v>0</v>
      </c>
      <c r="AQ10" s="20" cm="1">
        <f t="array" aca="1" ref="AQ10" ca="1">INDIRECT("Mai!G" &amp; COLUMN(H1) + 6)</f>
        <v>0</v>
      </c>
      <c r="AR10" s="20" cm="1">
        <f t="array" aca="1" ref="AR10" ca="1">INDIRECT("Mai!G" &amp; COLUMN(I1) + 6)</f>
        <v>0</v>
      </c>
    </row>
    <row r="11" spans="1:44" ht="16" x14ac:dyDescent="0.2">
      <c r="A11" s="117">
        <v>6</v>
      </c>
      <c r="B11" s="132" t="s">
        <v>84</v>
      </c>
      <c r="C11" s="133">
        <f>Jun!C$4</f>
        <v>2000</v>
      </c>
      <c r="D11" s="103">
        <f>Jun!G$4</f>
        <v>0</v>
      </c>
      <c r="E11" s="103">
        <f>Jun!L$4</f>
        <v>0</v>
      </c>
      <c r="F11" s="110">
        <f t="shared" si="1"/>
        <v>0</v>
      </c>
      <c r="G11" s="142">
        <f>SUMIF(Jun!$Y$24:$Y$27,"Invest1",Jun!$C$24:$C$28)</f>
        <v>0</v>
      </c>
      <c r="H11" s="142">
        <f>SUMIF(Jun!$Y$24:$Y$27,"Invest2",Jun!$C$24:$C$28)</f>
        <v>0</v>
      </c>
      <c r="I11" s="142">
        <f>SUMIF(Jun!$Y$24:$Y$27,"Invest3",Jun!$C$24:$C$28)</f>
        <v>0</v>
      </c>
      <c r="J11" s="104">
        <f>SUMIF(Jun!$Y$24:$Y$27,"Invest4",Jun!$C$24:$C$28)</f>
        <v>0</v>
      </c>
      <c r="K11" s="142">
        <f>SUMIF(Jun!$Y$24:$Y$27,"Invest5",Jun!$C$24:$C$28)</f>
        <v>0</v>
      </c>
      <c r="L11" s="133">
        <f>Jun!C$22</f>
        <v>0</v>
      </c>
      <c r="M11" s="149">
        <f>Jun!C$31</f>
        <v>0</v>
      </c>
      <c r="N11" s="150">
        <f t="shared" si="0"/>
        <v>2000</v>
      </c>
      <c r="O11" s="103">
        <f>SUMIF(Jun!JunCatDv,Tabelas!O5,JunDV[[#All],[Coluna2]])</f>
        <v>0</v>
      </c>
      <c r="P11" s="103">
        <f>SUMIF(Jun!JunCatDv,Tabelas!P5,JunDV[[#All],[Coluna2]])</f>
        <v>0</v>
      </c>
      <c r="Q11" s="103">
        <f>SUMIF(Jun!JunCatDv,Tabelas!Q5,JunDV[[#All],[Coluna2]])</f>
        <v>0</v>
      </c>
      <c r="R11" s="103">
        <f>SUMIF(Jun!JunCatDv,Tabelas!R5,JunDV[[#All],[Coluna2]])</f>
        <v>0</v>
      </c>
      <c r="S11" s="103">
        <f>SUMIF(Jun!JunCatDv,Tabelas!S5,JunDV[[#All],[Coluna2]])</f>
        <v>0</v>
      </c>
      <c r="T11" s="103">
        <f>SUMIF(Jun!JunCatDv,Tabelas!T5,JunDV[[#All],[Coluna2]])</f>
        <v>0</v>
      </c>
      <c r="U11" s="103">
        <f>SUMIF(Jun!JunCatDv,Tabelas!U5,JunDV[[#All],[Coluna2]])</f>
        <v>0</v>
      </c>
      <c r="V11" s="103">
        <f>SUMIF(Jun!JunCatDv,Tabelas!V5,JunDV[[#All],[Coluna2]])</f>
        <v>0</v>
      </c>
      <c r="W11" s="103">
        <f>SUMIF(Jun!JunCatDv,Tabelas!W5,JunDV[[#All],[Coluna2]])</f>
        <v>0</v>
      </c>
      <c r="X11" s="103">
        <f>SUMIF(Jun!JunCatDv,Tabelas!X5,JunDV[[#All],[Coluna2]])</f>
        <v>0</v>
      </c>
      <c r="Y11" s="105">
        <f>IF(Jun!$H$6="-",0,IF(Jun!$H$6="",0,1))</f>
        <v>0</v>
      </c>
      <c r="Z11" s="105">
        <f>IF(Jun!$H$7="-",0,IF(Jun!$H$7="",0,1))</f>
        <v>0</v>
      </c>
      <c r="AA11" s="105">
        <f>IF(Jun!$H$8="-",0,IF(Jun!$H$8="",0,1))</f>
        <v>0</v>
      </c>
      <c r="AB11" s="105">
        <f>IF(Jun!$H$9="-",0,IF(Jun!$H$9="",0,1))</f>
        <v>0</v>
      </c>
      <c r="AC11" s="105">
        <f>IF(Jun!$H$10="-",0,IF(Jun!$H$10="",0,1))</f>
        <v>0</v>
      </c>
      <c r="AD11" s="105">
        <f>IF(Jun!$H$11="-",0,IF(Jun!$H$11="",0,1))</f>
        <v>0</v>
      </c>
      <c r="AE11" s="105">
        <f>IF(Jun!$H$12="-",0,IF(Jun!$H$12="",0,1))</f>
        <v>0</v>
      </c>
      <c r="AF11" s="105">
        <f>IF(Jun!$H$13="-",0,IF(Jun!$H$13="",0,1))</f>
        <v>0</v>
      </c>
      <c r="AG11" s="105">
        <f>IF(Jun!$H$14="-",0,IF(Jun!$H$14="",0,1))</f>
        <v>0</v>
      </c>
      <c r="AH11" s="105">
        <f>IF(Jun!$H$15="-",0,IF(Jun!$H$15="",0,1))</f>
        <v>0</v>
      </c>
      <c r="AI11" s="20">
        <f>Jun!$G6</f>
        <v>0</v>
      </c>
      <c r="AJ11" s="20" cm="1">
        <f t="array" aca="1" ref="AJ11" ca="1">INDIRECT("Jun!G" &amp; COLUMN(A1) + 6)</f>
        <v>0</v>
      </c>
      <c r="AK11" s="20" cm="1">
        <f t="array" aca="1" ref="AK11" ca="1">INDIRECT("Jun!G" &amp; COLUMN(B1) + 6)</f>
        <v>0</v>
      </c>
      <c r="AL11" s="20" cm="1">
        <f t="array" aca="1" ref="AL11" ca="1">INDIRECT("Jun!G" &amp; COLUMN(C1) + 6)</f>
        <v>0</v>
      </c>
      <c r="AM11" s="20" cm="1">
        <f t="array" aca="1" ref="AM11" ca="1">INDIRECT("Jun!G" &amp; COLUMN(D1) + 6)</f>
        <v>0</v>
      </c>
      <c r="AN11" s="20" cm="1">
        <f t="array" aca="1" ref="AN11" ca="1">INDIRECT("Jun!G" &amp; COLUMN(E1) + 6)</f>
        <v>0</v>
      </c>
      <c r="AO11" s="20" cm="1">
        <f t="array" aca="1" ref="AO11" ca="1">INDIRECT("Jun!G" &amp; COLUMN(F1) + 6)</f>
        <v>0</v>
      </c>
      <c r="AP11" s="20" cm="1">
        <f t="array" aca="1" ref="AP11" ca="1">INDIRECT("Jun!G" &amp; COLUMN(G1) + 6)</f>
        <v>0</v>
      </c>
      <c r="AQ11" s="20" cm="1">
        <f t="array" aca="1" ref="AQ11" ca="1">INDIRECT("Jun!G" &amp; COLUMN(H1) + 6)</f>
        <v>0</v>
      </c>
      <c r="AR11" s="20" cm="1">
        <f t="array" aca="1" ref="AR11" ca="1">INDIRECT("Jun!G" &amp; COLUMN(I1) + 6)</f>
        <v>0</v>
      </c>
    </row>
    <row r="12" spans="1:44" ht="16" x14ac:dyDescent="0.2">
      <c r="A12" s="117">
        <v>7</v>
      </c>
      <c r="B12" s="132" t="s">
        <v>85</v>
      </c>
      <c r="C12" s="133">
        <f>Jul!C$4</f>
        <v>2000</v>
      </c>
      <c r="D12" s="103">
        <f>Jul!G$4</f>
        <v>0</v>
      </c>
      <c r="E12" s="103">
        <f>Jul!L$4</f>
        <v>0</v>
      </c>
      <c r="F12" s="110">
        <f t="shared" si="1"/>
        <v>0</v>
      </c>
      <c r="G12" s="142">
        <f>SUMIF(Jul!$Y$24:$Y$27,"Invest1",Jul!$C$24:$C$28)</f>
        <v>0</v>
      </c>
      <c r="H12" s="142">
        <f>SUMIF(Jul!$Y$24:$Y$27,"Invest2",Jul!$C$24:$C$28)</f>
        <v>0</v>
      </c>
      <c r="I12" s="142">
        <f>SUMIF(Jul!$Y$24:$Y$27,"Invest3",Jul!$C$24:$C$28)</f>
        <v>0</v>
      </c>
      <c r="J12" s="104">
        <f>SUMIF(Jul!$Y$24:$Y$27,"Invest4",Jul!$C$24:$C$28)</f>
        <v>0</v>
      </c>
      <c r="K12" s="142">
        <f>SUMIF(Jul!$Y$24:$Y$27,"Invest5",Jul!$C$24:$C$28)</f>
        <v>0</v>
      </c>
      <c r="L12" s="133">
        <f>Jul!C$22</f>
        <v>0</v>
      </c>
      <c r="M12" s="149">
        <f>Jul!C$31</f>
        <v>0</v>
      </c>
      <c r="N12" s="150">
        <f t="shared" si="0"/>
        <v>2000</v>
      </c>
      <c r="O12" s="103">
        <f>SUMIF(Jul!JulCatDv,Tabelas!O5,JulDV[[#All],[Coluna2]])</f>
        <v>0</v>
      </c>
      <c r="P12" s="103">
        <f>SUMIF(Jul!JulCatDv,Tabelas!P5,JulDV[[#All],[Coluna2]])</f>
        <v>0</v>
      </c>
      <c r="Q12" s="103">
        <f>SUMIF(Jul!JulCatDv,Tabelas!Q5,JulDV[[#All],[Coluna2]])</f>
        <v>0</v>
      </c>
      <c r="R12" s="103">
        <f>SUMIF(Jul!JulCatDv,Tabelas!R5,JulDV[[#All],[Coluna2]])</f>
        <v>0</v>
      </c>
      <c r="S12" s="103">
        <f>SUMIF(Jul!JulCatDv,Tabelas!S5,JulDV[[#All],[Coluna2]])</f>
        <v>0</v>
      </c>
      <c r="T12" s="103">
        <f>SUMIF(Jul!JulCatDv,Tabelas!T5,JulDV[[#All],[Coluna2]])</f>
        <v>0</v>
      </c>
      <c r="U12" s="103">
        <f>SUMIF(Jul!JulCatDv,Tabelas!U5,JulDV[[#All],[Coluna2]])</f>
        <v>0</v>
      </c>
      <c r="V12" s="103">
        <f>SUMIF(Jul!JulCatDv,Tabelas!V5,JulDV[[#All],[Coluna2]])</f>
        <v>0</v>
      </c>
      <c r="W12" s="103">
        <f>SUMIF(Jul!JulCatDv,Tabelas!W5,JulDV[[#All],[Coluna2]])</f>
        <v>0</v>
      </c>
      <c r="X12" s="103">
        <f>SUMIF(Jul!JulCatDv,Tabelas!X5,JulDV[[#All],[Coluna2]])</f>
        <v>0</v>
      </c>
      <c r="Y12" s="105">
        <f>IF(Jul!$H$6="-",0,IF(Jul!$H$6="",0,1))</f>
        <v>0</v>
      </c>
      <c r="Z12" s="105">
        <f>IF(Jul!$H$7="-",0,IF(Jul!$H$7="",0,1))</f>
        <v>0</v>
      </c>
      <c r="AA12" s="105">
        <f>IF(Jul!$H$8="-",0,IF(Jul!$H$8="",0,1))</f>
        <v>0</v>
      </c>
      <c r="AB12" s="105">
        <f>IF(Jul!$H$9="-",0,IF(Jul!$H$9="",0,1))</f>
        <v>0</v>
      </c>
      <c r="AC12" s="105">
        <f>IF(Jul!$H$10="-",0,IF(Jul!$H$10="",0,1))</f>
        <v>0</v>
      </c>
      <c r="AD12" s="105">
        <f>IF(Jul!$H$11="-",0,IF(Jul!$H$11="",0,1))</f>
        <v>0</v>
      </c>
      <c r="AE12" s="105">
        <f>IF(Jul!$H$12="-",0,IF(Jul!$H$12="",0,1))</f>
        <v>0</v>
      </c>
      <c r="AF12" s="105">
        <f>IF(Jul!$H$13="-",0,IF(Jul!$H$13="",0,1))</f>
        <v>0</v>
      </c>
      <c r="AG12" s="105">
        <f>IF(Jul!$H$14="-",0,IF(Jul!$H$14="",0,1))</f>
        <v>0</v>
      </c>
      <c r="AH12" s="105">
        <f>IF(Jul!$H$15="-",0,IF(Jul!$H$15="",0,1))</f>
        <v>0</v>
      </c>
      <c r="AI12" s="20">
        <f>Jul!$G6</f>
        <v>0</v>
      </c>
      <c r="AJ12" s="20" cm="1">
        <f t="array" aca="1" ref="AJ12" ca="1">INDIRECT("Jul!G" &amp; COLUMN(A1) + 6)</f>
        <v>0</v>
      </c>
      <c r="AK12" s="20" cm="1">
        <f t="array" aca="1" ref="AK12" ca="1">INDIRECT("Jul!G" &amp; COLUMN(B1) + 6)</f>
        <v>0</v>
      </c>
      <c r="AL12" s="20" cm="1">
        <f t="array" aca="1" ref="AL12" ca="1">INDIRECT("Jul!G" &amp; COLUMN(C1) + 6)</f>
        <v>0</v>
      </c>
      <c r="AM12" s="20" cm="1">
        <f t="array" aca="1" ref="AM12" ca="1">INDIRECT("Jul!G" &amp; COLUMN(D1) + 6)</f>
        <v>0</v>
      </c>
      <c r="AN12" s="20" cm="1">
        <f t="array" aca="1" ref="AN12" ca="1">INDIRECT("Jul!G" &amp; COLUMN(E1) + 6)</f>
        <v>0</v>
      </c>
      <c r="AO12" s="20" cm="1">
        <f t="array" aca="1" ref="AO12" ca="1">INDIRECT("Jul!G" &amp; COLUMN(F1) + 6)</f>
        <v>0</v>
      </c>
      <c r="AP12" s="20" cm="1">
        <f t="array" aca="1" ref="AP12" ca="1">INDIRECT("Jul!G" &amp; COLUMN(G1) + 6)</f>
        <v>0</v>
      </c>
      <c r="AQ12" s="20" cm="1">
        <f t="array" aca="1" ref="AQ12" ca="1">INDIRECT("Jul!G" &amp; COLUMN(H1) + 6)</f>
        <v>0</v>
      </c>
      <c r="AR12" s="20" cm="1">
        <f t="array" aca="1" ref="AR12" ca="1">INDIRECT("Jul!G" &amp; COLUMN(I1) + 6)</f>
        <v>0</v>
      </c>
    </row>
    <row r="13" spans="1:44" ht="16" x14ac:dyDescent="0.2">
      <c r="A13" s="117">
        <v>8</v>
      </c>
      <c r="B13" s="132" t="s">
        <v>86</v>
      </c>
      <c r="C13" s="133">
        <f>Ago!C$4</f>
        <v>2000</v>
      </c>
      <c r="D13" s="103">
        <f>Ago!G$4</f>
        <v>0</v>
      </c>
      <c r="E13" s="103">
        <f>Ago!L$4</f>
        <v>0</v>
      </c>
      <c r="F13" s="110">
        <f t="shared" si="1"/>
        <v>0</v>
      </c>
      <c r="G13" s="142">
        <f>SUMIF(Ago!$Y$24:$Y$27,"Invest1",Ago!$C$24:$C$28)</f>
        <v>0</v>
      </c>
      <c r="H13" s="142">
        <f>SUMIF(Ago!$Y$24:$Y$27,"Invest2",Ago!$C$24:$C$28)</f>
        <v>0</v>
      </c>
      <c r="I13" s="142">
        <f>SUMIF(Ago!$Y$24:$Y$27,"Invest3",Ago!$C$24:$C$28)</f>
        <v>0</v>
      </c>
      <c r="J13" s="104">
        <f>SUMIF(Ago!$Y$24:$Y$27,"Invest4",Ago!$C$24:$C$28)</f>
        <v>0</v>
      </c>
      <c r="K13" s="142">
        <f>SUMIF(Ago!$Y$24:$Y$27,"Invest5",Ago!$C$24:$C$28)</f>
        <v>0</v>
      </c>
      <c r="L13" s="133">
        <f>Ago!C$22</f>
        <v>0</v>
      </c>
      <c r="M13" s="149">
        <f>Ago!C$31</f>
        <v>0</v>
      </c>
      <c r="N13" s="150">
        <f t="shared" si="0"/>
        <v>2000</v>
      </c>
      <c r="O13" s="103">
        <f>SUMIF(Ago!AgoCatDv,Tabelas!O5,AgoDV[[#All],[Coluna2]])</f>
        <v>0</v>
      </c>
      <c r="P13" s="103">
        <f>SUMIF(Ago!AgoCatDv,Tabelas!P5,AgoDV[[#All],[Coluna2]])</f>
        <v>0</v>
      </c>
      <c r="Q13" s="103">
        <f>SUMIF(Ago!AgoCatDv,Tabelas!Q5,AgoDV[[#All],[Coluna2]])</f>
        <v>0</v>
      </c>
      <c r="R13" s="103">
        <f>SUMIF(Ago!AgoCatDv,Tabelas!R5,AgoDV[[#All],[Coluna2]])</f>
        <v>0</v>
      </c>
      <c r="S13" s="103">
        <f>SUMIF(Ago!AgoCatDv,Tabelas!S5,AgoDV[[#All],[Coluna2]])</f>
        <v>0</v>
      </c>
      <c r="T13" s="103">
        <f>SUMIF(Ago!AgoCatDv,Tabelas!T5,AgoDV[[#All],[Coluna2]])</f>
        <v>0</v>
      </c>
      <c r="U13" s="103">
        <f>SUMIF(Ago!AgoCatDv,Tabelas!U5,AgoDV[[#All],[Coluna2]])</f>
        <v>0</v>
      </c>
      <c r="V13" s="103">
        <f>SUMIF(Ago!AgoCatDv,Tabelas!V5,AgoDV[[#All],[Coluna2]])</f>
        <v>0</v>
      </c>
      <c r="W13" s="103">
        <f>SUMIF(Ago!AgoCatDv,Tabelas!W5,AgoDV[[#All],[Coluna2]])</f>
        <v>0</v>
      </c>
      <c r="X13" s="103">
        <f>SUMIF(Ago!AgoCatDv,Tabelas!X5,AgoDV[[#All],[Coluna2]])</f>
        <v>0</v>
      </c>
      <c r="Y13" s="105">
        <f>IF(Ago!$H$6="-",0,IF(Ago!$H$6="",0,1))</f>
        <v>0</v>
      </c>
      <c r="Z13" s="105">
        <f>IF(Ago!$H$7="-",0,IF(Ago!$H$7="",0,1))</f>
        <v>0</v>
      </c>
      <c r="AA13" s="105">
        <f>IF(Ago!$H$8="-",0,IF(Ago!$H$8="",0,1))</f>
        <v>0</v>
      </c>
      <c r="AB13" s="105">
        <f>IF(Ago!$H$9="-",0,IF(Ago!$H$9="",0,1))</f>
        <v>0</v>
      </c>
      <c r="AC13" s="105">
        <f>IF(Ago!$H$10="-",0,IF(Ago!$H$10="",0,1))</f>
        <v>0</v>
      </c>
      <c r="AD13" s="105">
        <f>IF(Ago!$H$11="-",0,IF(Ago!$H$11="",0,1))</f>
        <v>0</v>
      </c>
      <c r="AE13" s="105">
        <f>IF(Ago!$H$12="-",0,IF(Ago!$H$12="",0,1))</f>
        <v>0</v>
      </c>
      <c r="AF13" s="105">
        <f>IF(Ago!$H$13="-",0,IF(Ago!$H$13="",0,1))</f>
        <v>0</v>
      </c>
      <c r="AG13" s="105">
        <f>IF(Ago!$H$14="-",0,IF(Ago!$H$14="",0,1))</f>
        <v>0</v>
      </c>
      <c r="AH13" s="105">
        <f>IF(Ago!$H$15="-",0,IF(Ago!$H$15="",0,1))</f>
        <v>0</v>
      </c>
      <c r="AI13" s="20">
        <f>Ago!$G6</f>
        <v>0</v>
      </c>
      <c r="AJ13" s="20" cm="1">
        <f t="array" aca="1" ref="AJ13" ca="1">INDIRECT("Ago!G" &amp; COLUMN(A1) + 6)</f>
        <v>0</v>
      </c>
      <c r="AK13" s="20" cm="1">
        <f t="array" aca="1" ref="AK13" ca="1">INDIRECT("Ago!G" &amp; COLUMN(B1) + 6)</f>
        <v>0</v>
      </c>
      <c r="AL13" s="20" cm="1">
        <f t="array" aca="1" ref="AL13" ca="1">INDIRECT("Ago!G" &amp; COLUMN(C1) + 6)</f>
        <v>0</v>
      </c>
      <c r="AM13" s="20" cm="1">
        <f t="array" aca="1" ref="AM13" ca="1">INDIRECT("Ago!G" &amp; COLUMN(D1) + 6)</f>
        <v>0</v>
      </c>
      <c r="AN13" s="20" cm="1">
        <f t="array" aca="1" ref="AN13" ca="1">INDIRECT("Ago!G" &amp; COLUMN(E1) + 6)</f>
        <v>0</v>
      </c>
      <c r="AO13" s="20" cm="1">
        <f t="array" aca="1" ref="AO13" ca="1">INDIRECT("Ago!G" &amp; COLUMN(F1) + 6)</f>
        <v>0</v>
      </c>
      <c r="AP13" s="20" cm="1">
        <f t="array" aca="1" ref="AP13" ca="1">INDIRECT("Ago!G" &amp; COLUMN(G1) + 6)</f>
        <v>0</v>
      </c>
      <c r="AQ13" s="20" cm="1">
        <f t="array" aca="1" ref="AQ13" ca="1">INDIRECT("Ago!G" &amp; COLUMN(H1) + 6)</f>
        <v>0</v>
      </c>
      <c r="AR13" s="20" cm="1">
        <f t="array" aca="1" ref="AR13" ca="1">INDIRECT("Ago!G" &amp; COLUMN(I1) + 6)</f>
        <v>0</v>
      </c>
    </row>
    <row r="14" spans="1:44" ht="16" x14ac:dyDescent="0.2">
      <c r="A14" s="117">
        <v>9</v>
      </c>
      <c r="B14" s="132" t="s">
        <v>87</v>
      </c>
      <c r="C14" s="133">
        <f>Set!C$4</f>
        <v>2000</v>
      </c>
      <c r="D14" s="103">
        <f>Set!G$4</f>
        <v>0</v>
      </c>
      <c r="E14" s="103">
        <f>Set!L$4</f>
        <v>0</v>
      </c>
      <c r="F14" s="110">
        <f t="shared" si="1"/>
        <v>0</v>
      </c>
      <c r="G14" s="142">
        <f>SUMIF(Set!$Y$24:$Y$27,"Invest1",Set!$C$24:$C$28)</f>
        <v>0</v>
      </c>
      <c r="H14" s="142">
        <f>SUMIF(Set!$Y$24:$Y$27,"Invest2",Set!$C$24:$C$28)</f>
        <v>0</v>
      </c>
      <c r="I14" s="142">
        <f>SUMIF(Set!$Y$24:$Y$27,"Invest3",Set!$C$24:$C$28)</f>
        <v>0</v>
      </c>
      <c r="J14" s="104">
        <f>SUMIF(Set!$Y$24:$Y$27,"Invest4",Set!$C$24:$C$28)</f>
        <v>0</v>
      </c>
      <c r="K14" s="142">
        <f>SUMIF(Set!$Y$24:$Y$27,"Invest5",Set!$C$24:$C$28)</f>
        <v>0</v>
      </c>
      <c r="L14" s="133">
        <f>Set!C$22</f>
        <v>0</v>
      </c>
      <c r="M14" s="149">
        <f>Set!C$31</f>
        <v>0</v>
      </c>
      <c r="N14" s="150">
        <f t="shared" si="0"/>
        <v>2000</v>
      </c>
      <c r="O14" s="103">
        <f>SUMIF(Set!SetCatDv,Tabelas!O5,SetDV[[#All],[Coluna2]])</f>
        <v>0</v>
      </c>
      <c r="P14" s="103">
        <f>SUMIF(Set!SetCatDv,Tabelas!P5,SetDV[[#All],[Coluna2]])</f>
        <v>0</v>
      </c>
      <c r="Q14" s="103">
        <f>SUMIF(Set!SetCatDv,Tabelas!Q5,SetDV[[#All],[Coluna2]])</f>
        <v>0</v>
      </c>
      <c r="R14" s="103">
        <f>SUMIF(Set!SetCatDv,Tabelas!R5,SetDV[[#All],[Coluna2]])</f>
        <v>0</v>
      </c>
      <c r="S14" s="103">
        <f>SUMIF(Set!SetCatDv,Tabelas!S5,SetDV[[#All],[Coluna2]])</f>
        <v>0</v>
      </c>
      <c r="T14" s="103">
        <f>SUMIF(Set!SetCatDv,Tabelas!T5,SetDV[[#All],[Coluna2]])</f>
        <v>0</v>
      </c>
      <c r="U14" s="103">
        <f>SUMIF(Set!SetCatDv,Tabelas!U5,SetDV[[#All],[Coluna2]])</f>
        <v>0</v>
      </c>
      <c r="V14" s="103">
        <f>SUMIF(Set!SetCatDv,Tabelas!V5,SetDV[[#All],[Coluna2]])</f>
        <v>0</v>
      </c>
      <c r="W14" s="103">
        <f>SUMIF(Set!SetCatDv,Tabelas!W5,SetDV[[#All],[Coluna2]])</f>
        <v>0</v>
      </c>
      <c r="X14" s="103">
        <f>SUMIF(Set!SetCatDv,Tabelas!X5,SetDV[[#All],[Coluna2]])</f>
        <v>0</v>
      </c>
      <c r="Y14" s="105">
        <f>IF(Set!$H$6="-",0,IF(Set!$H$6="",0,1))</f>
        <v>0</v>
      </c>
      <c r="Z14" s="105">
        <f>IF(Set!$H$7="-",0,IF(Set!$H$7="",0,1))</f>
        <v>0</v>
      </c>
      <c r="AA14" s="105">
        <f>IF(Set!$H$8="-",0,IF(Set!$H$8="",0,1))</f>
        <v>0</v>
      </c>
      <c r="AB14" s="105">
        <f>IF(Set!$H$9="-",0,IF(Set!$H$9="",0,1))</f>
        <v>0</v>
      </c>
      <c r="AC14" s="105">
        <f>IF(Set!$H$10="-",0,IF(Set!$H$10="",0,1))</f>
        <v>0</v>
      </c>
      <c r="AD14" s="105">
        <f>IF(Set!$H$11="-",0,IF(Set!$H$11="",0,1))</f>
        <v>0</v>
      </c>
      <c r="AE14" s="105">
        <f>IF(Set!$H$12="-",0,IF(Set!$H$12="",0,1))</f>
        <v>0</v>
      </c>
      <c r="AF14" s="105">
        <f>IF(Set!$H$13="-",0,IF(Set!$H$13="",0,1))</f>
        <v>0</v>
      </c>
      <c r="AG14" s="105">
        <f>IF(Set!$H$14="-",0,IF(Set!$H$14="",0,1))</f>
        <v>0</v>
      </c>
      <c r="AH14" s="105">
        <f>IF(Set!$H$15="-",0,IF(Set!$H$15="",0,1))</f>
        <v>0</v>
      </c>
      <c r="AI14" s="20">
        <f>Set!$G6</f>
        <v>0</v>
      </c>
      <c r="AJ14" s="20" cm="1">
        <f t="array" aca="1" ref="AJ14" ca="1">INDIRECT("Set!G" &amp; COLUMN(A1) + 6)</f>
        <v>0</v>
      </c>
      <c r="AK14" s="20" cm="1">
        <f t="array" aca="1" ref="AK14" ca="1">INDIRECT("Set!G" &amp; COLUMN(B1) + 6)</f>
        <v>0</v>
      </c>
      <c r="AL14" s="20" cm="1">
        <f t="array" aca="1" ref="AL14" ca="1">INDIRECT("Set!G" &amp; COLUMN(C1) + 6)</f>
        <v>0</v>
      </c>
      <c r="AM14" s="20" cm="1">
        <f t="array" aca="1" ref="AM14" ca="1">INDIRECT("Set!G" &amp; COLUMN(D1) + 6)</f>
        <v>0</v>
      </c>
      <c r="AN14" s="20" cm="1">
        <f t="array" aca="1" ref="AN14" ca="1">INDIRECT("Set!G" &amp; COLUMN(E1) + 6)</f>
        <v>0</v>
      </c>
      <c r="AO14" s="20" cm="1">
        <f t="array" aca="1" ref="AO14" ca="1">INDIRECT("Set!G" &amp; COLUMN(F1) + 6)</f>
        <v>0</v>
      </c>
      <c r="AP14" s="20" cm="1">
        <f t="array" aca="1" ref="AP14" ca="1">INDIRECT("Set!G" &amp; COLUMN(G1) + 6)</f>
        <v>0</v>
      </c>
      <c r="AQ14" s="20" cm="1">
        <f t="array" aca="1" ref="AQ14" ca="1">INDIRECT("Set!G" &amp; COLUMN(H1) + 6)</f>
        <v>0</v>
      </c>
      <c r="AR14" s="20" cm="1">
        <f t="array" aca="1" ref="AR14" ca="1">INDIRECT("Set!G" &amp; COLUMN(I1) + 6)</f>
        <v>0</v>
      </c>
    </row>
    <row r="15" spans="1:44" ht="16" x14ac:dyDescent="0.2">
      <c r="A15" s="117">
        <v>10</v>
      </c>
      <c r="B15" s="132" t="s">
        <v>88</v>
      </c>
      <c r="C15" s="133">
        <f>Out!C$4</f>
        <v>2000</v>
      </c>
      <c r="D15" s="103">
        <f>Out!G$4</f>
        <v>0</v>
      </c>
      <c r="E15" s="103">
        <f>Out!L$4</f>
        <v>0</v>
      </c>
      <c r="F15" s="110">
        <f t="shared" si="1"/>
        <v>0</v>
      </c>
      <c r="G15" s="142">
        <f>SUMIF(Out!$Y$24:$Y$27,"Invest1",Out!$C$24:$C$28)</f>
        <v>0</v>
      </c>
      <c r="H15" s="142">
        <f>SUMIF(Out!$Y$24:$Y$27,"Invest2",Out!$C$24:$C$28)</f>
        <v>0</v>
      </c>
      <c r="I15" s="142">
        <f>SUMIF(Out!$Y$24:$Y$27,"Invest3",Out!$C$24:$C$28)</f>
        <v>0</v>
      </c>
      <c r="J15" s="104">
        <f>SUMIF(Out!$Y$24:$Y$27,"Invest4",Out!$C$24:$C$28)</f>
        <v>0</v>
      </c>
      <c r="K15" s="142">
        <f>SUMIF(Out!$Y$24:$Y$27,"Invest5",Out!$C$24:$C$28)</f>
        <v>0</v>
      </c>
      <c r="L15" s="133">
        <f>Out!C$22</f>
        <v>0</v>
      </c>
      <c r="M15" s="149">
        <f>Out!C$31</f>
        <v>0</v>
      </c>
      <c r="N15" s="150">
        <f t="shared" si="0"/>
        <v>2000</v>
      </c>
      <c r="O15" s="103">
        <f>SUMIF(Out!OutCatDv,Tabelas!O5,OutDV[[#All],[Coluna2]])</f>
        <v>0</v>
      </c>
      <c r="P15" s="103">
        <f>SUMIF(Out!OutCatDv,Tabelas!P5,OutDV[[#All],[Coluna2]])</f>
        <v>0</v>
      </c>
      <c r="Q15" s="103">
        <f>SUMIF(Out!OutCatDv,Tabelas!Q5,OutDV[[#All],[Coluna2]])</f>
        <v>0</v>
      </c>
      <c r="R15" s="103">
        <f>SUMIF(Out!OutCatDv,Tabelas!R5,OutDV[[#All],[Coluna2]])</f>
        <v>0</v>
      </c>
      <c r="S15" s="103">
        <f>SUMIF(Out!OutCatDv,Tabelas!S5,OutDV[[#All],[Coluna2]])</f>
        <v>0</v>
      </c>
      <c r="T15" s="103">
        <f>SUMIF(Out!OutCatDv,Tabelas!T5,OutDV[[#All],[Coluna2]])</f>
        <v>0</v>
      </c>
      <c r="U15" s="103">
        <f>SUMIF(Out!OutCatDv,Tabelas!U5,OutDV[[#All],[Coluna2]])</f>
        <v>0</v>
      </c>
      <c r="V15" s="103">
        <f>SUMIF(Out!OutCatDv,Tabelas!V5,OutDV[[#All],[Coluna2]])</f>
        <v>0</v>
      </c>
      <c r="W15" s="103">
        <f>SUMIF(Out!OutCatDv,Tabelas!W5,OutDV[[#All],[Coluna2]])</f>
        <v>0</v>
      </c>
      <c r="X15" s="103">
        <f>SUMIF(Out!OutCatDv,Tabelas!X5,OutDV[[#All],[Coluna2]])</f>
        <v>0</v>
      </c>
      <c r="Y15" s="105">
        <f>IF(Out!$H$6="-",0,IF(Out!$H$6="",0,1))</f>
        <v>0</v>
      </c>
      <c r="Z15" s="105">
        <f>IF(Out!$H$7="-",0,IF(Out!$H$7="",0,1))</f>
        <v>0</v>
      </c>
      <c r="AA15" s="105">
        <f>IF(Out!$H$8="-",0,IF(Out!$H$8="",0,1))</f>
        <v>0</v>
      </c>
      <c r="AB15" s="105">
        <f>IF(Out!$H$9="-",0,IF(Out!$H$9="",0,1))</f>
        <v>0</v>
      </c>
      <c r="AC15" s="105">
        <f>IF(Out!$H$10="-",0,IF(Out!$H$10="",0,1))</f>
        <v>0</v>
      </c>
      <c r="AD15" s="105">
        <f>IF(Out!$H$11="-",0,IF(Out!$H$11="",0,1))</f>
        <v>0</v>
      </c>
      <c r="AE15" s="105">
        <f>IF(Out!$H$12="-",0,IF(Out!$H$12="",0,1))</f>
        <v>0</v>
      </c>
      <c r="AF15" s="105">
        <f>IF(Out!$H$13="-",0,IF(Out!$H$13="",0,1))</f>
        <v>0</v>
      </c>
      <c r="AG15" s="105">
        <f>IF(Out!$H$14="-",0,IF(Out!$H$14="",0,1))</f>
        <v>0</v>
      </c>
      <c r="AH15" s="105">
        <f>IF(Out!$H$15="-",0,IF(Out!$H$15="",0,1))</f>
        <v>0</v>
      </c>
      <c r="AI15" s="20">
        <f>Out!$G6</f>
        <v>0</v>
      </c>
      <c r="AJ15" s="20" cm="1">
        <f t="array" aca="1" ref="AJ15" ca="1">INDIRECT("Out!G" &amp; COLUMN(A1) + 6)</f>
        <v>0</v>
      </c>
      <c r="AK15" s="20" cm="1">
        <f t="array" aca="1" ref="AK15" ca="1">INDIRECT("Out!G" &amp; COLUMN(B1) + 6)</f>
        <v>0</v>
      </c>
      <c r="AL15" s="20" cm="1">
        <f t="array" aca="1" ref="AL15" ca="1">INDIRECT("Out!G" &amp; COLUMN(C1) + 6)</f>
        <v>0</v>
      </c>
      <c r="AM15" s="20" cm="1">
        <f t="array" aca="1" ref="AM15" ca="1">INDIRECT("Out!G" &amp; COLUMN(D1) + 6)</f>
        <v>0</v>
      </c>
      <c r="AN15" s="20" cm="1">
        <f t="array" aca="1" ref="AN15" ca="1">INDIRECT("Out!G" &amp; COLUMN(E1) + 6)</f>
        <v>0</v>
      </c>
      <c r="AO15" s="20" cm="1">
        <f t="array" aca="1" ref="AO15" ca="1">INDIRECT("Out!G" &amp; COLUMN(F1) + 6)</f>
        <v>0</v>
      </c>
      <c r="AP15" s="20" cm="1">
        <f t="array" aca="1" ref="AP15" ca="1">INDIRECT("Out!G" &amp; COLUMN(G1) + 6)</f>
        <v>0</v>
      </c>
      <c r="AQ15" s="20" cm="1">
        <f t="array" aca="1" ref="AQ15" ca="1">INDIRECT("Out!G" &amp; COLUMN(H1) + 6)</f>
        <v>0</v>
      </c>
      <c r="AR15" s="20" cm="1">
        <f t="array" aca="1" ref="AR15" ca="1">INDIRECT("Out!G" &amp; COLUMN(I1) + 6)</f>
        <v>0</v>
      </c>
    </row>
    <row r="16" spans="1:44" ht="16" x14ac:dyDescent="0.2">
      <c r="A16" s="117">
        <v>11</v>
      </c>
      <c r="B16" s="132" t="s">
        <v>89</v>
      </c>
      <c r="C16" s="133">
        <f>Nov!C$4</f>
        <v>2000</v>
      </c>
      <c r="D16" s="103">
        <f>Nov!G$4</f>
        <v>0</v>
      </c>
      <c r="E16" s="103">
        <f>Nov!L$4</f>
        <v>0</v>
      </c>
      <c r="F16" s="110">
        <f t="shared" si="1"/>
        <v>0</v>
      </c>
      <c r="G16" s="142">
        <f>SUMIF(Nov!$Y$24:$Y$27,"Invest1",Nov!$C$24:$C$28)</f>
        <v>0</v>
      </c>
      <c r="H16" s="142">
        <f>SUMIF(Nov!$Y$24:$Y$27,"Invest2",Nov!$C$24:$C$28)</f>
        <v>0</v>
      </c>
      <c r="I16" s="142">
        <f>SUMIF(Nov!$Y$24:$Y$27,"Invest3",Nov!$C$24:$C$28)</f>
        <v>0</v>
      </c>
      <c r="J16" s="104">
        <f>SUMIF(Nov!$Y$24:$Y$27,"Invest4",Nov!$C$24:$C$28)</f>
        <v>0</v>
      </c>
      <c r="K16" s="142">
        <f>SUMIF(Nov!$Y$24:$Y$27,"Invest5",Nov!$C$24:$C$28)</f>
        <v>0</v>
      </c>
      <c r="L16" s="133">
        <f>Nov!C$22</f>
        <v>0</v>
      </c>
      <c r="M16" s="149">
        <f>Nov!C$31</f>
        <v>0</v>
      </c>
      <c r="N16" s="150">
        <f t="shared" si="0"/>
        <v>2000</v>
      </c>
      <c r="O16" s="103">
        <f>SUMIF(Nov!NovCatDv,Tabelas!O5,NovDV[[#All],[Coluna2]])</f>
        <v>0</v>
      </c>
      <c r="P16" s="103">
        <f>SUMIF(Nov!NovCatDv,Tabelas!P5,NovDV[[#All],[Coluna2]])</f>
        <v>0</v>
      </c>
      <c r="Q16" s="103">
        <f>SUMIF(Nov!NovCatDv,Tabelas!Q5,NovDV[[#All],[Coluna2]])</f>
        <v>0</v>
      </c>
      <c r="R16" s="103">
        <f>SUMIF(Nov!NovCatDv,Tabelas!R5,NovDV[[#All],[Coluna2]])</f>
        <v>0</v>
      </c>
      <c r="S16" s="103">
        <f>SUMIF(Nov!NovCatDv,Tabelas!S5,NovDV[[#All],[Coluna2]])</f>
        <v>0</v>
      </c>
      <c r="T16" s="103">
        <f>SUMIF(Nov!NovCatDv,Tabelas!T5,NovDV[[#All],[Coluna2]])</f>
        <v>0</v>
      </c>
      <c r="U16" s="103">
        <f>SUMIF(Nov!NovCatDv,Tabelas!U5,NovDV[[#All],[Coluna2]])</f>
        <v>0</v>
      </c>
      <c r="V16" s="103">
        <f>SUMIF(Nov!NovCatDv,Tabelas!V5,NovDV[[#All],[Coluna2]])</f>
        <v>0</v>
      </c>
      <c r="W16" s="103">
        <f>SUMIF(Nov!NovCatDv,Tabelas!W5,NovDV[[#All],[Coluna2]])</f>
        <v>0</v>
      </c>
      <c r="X16" s="103">
        <f>SUMIF(Nov!NovCatDv,Tabelas!X5,NovDV[[#All],[Coluna2]])</f>
        <v>0</v>
      </c>
      <c r="Y16" s="105">
        <f>IF(Nov!$H$6="-",0,IF(Nov!$H$6="",0,1))</f>
        <v>0</v>
      </c>
      <c r="Z16" s="105">
        <f>IF(Nov!$H$7="-",0,IF(Nov!$H$7="",0,1))</f>
        <v>0</v>
      </c>
      <c r="AA16" s="105">
        <f>IF(Nov!$H$8="-",0,IF(Nov!$H$8="",0,1))</f>
        <v>0</v>
      </c>
      <c r="AB16" s="105">
        <f>IF(Nov!$H$9="-",0,IF(Nov!$H$9="",0,1))</f>
        <v>0</v>
      </c>
      <c r="AC16" s="105">
        <f>IF(Nov!$H$10="-",0,IF(Nov!$H$10="",0,1))</f>
        <v>0</v>
      </c>
      <c r="AD16" s="105">
        <f>IF(Nov!$H$11="-",0,IF(Nov!$H$11="",0,1))</f>
        <v>0</v>
      </c>
      <c r="AE16" s="105">
        <f>IF(Nov!$H$12="-",0,IF(Nov!$H$12="",0,1))</f>
        <v>0</v>
      </c>
      <c r="AF16" s="105">
        <f>IF(Nov!$H$13="-",0,IF(Nov!$H$13="",0,1))</f>
        <v>0</v>
      </c>
      <c r="AG16" s="105">
        <f>IF(Nov!$H$14="-",0,IF(Nov!$H$14="",0,1))</f>
        <v>0</v>
      </c>
      <c r="AH16" s="105">
        <f>IF(Nov!$H$15="-",0,IF(Nov!$H$15="",0,1))</f>
        <v>0</v>
      </c>
      <c r="AI16" s="20">
        <f>Nov!$G6</f>
        <v>0</v>
      </c>
      <c r="AJ16" s="20" cm="1">
        <f t="array" aca="1" ref="AJ16" ca="1">INDIRECT("Nov!G" &amp; COLUMN(A1) + 6)</f>
        <v>0</v>
      </c>
      <c r="AK16" s="20" cm="1">
        <f t="array" aca="1" ref="AK16" ca="1">INDIRECT("Nov!G" &amp; COLUMN(B1) + 6)</f>
        <v>0</v>
      </c>
      <c r="AL16" s="20" cm="1">
        <f t="array" aca="1" ref="AL16" ca="1">INDIRECT("Nov!G" &amp; COLUMN(C1) + 6)</f>
        <v>0</v>
      </c>
      <c r="AM16" s="20" cm="1">
        <f t="array" aca="1" ref="AM16" ca="1">INDIRECT("Nov!G" &amp; COLUMN(D1) + 6)</f>
        <v>0</v>
      </c>
      <c r="AN16" s="20" cm="1">
        <f t="array" aca="1" ref="AN16" ca="1">INDIRECT("Nov!G" &amp; COLUMN(E1) + 6)</f>
        <v>0</v>
      </c>
      <c r="AO16" s="20" cm="1">
        <f t="array" aca="1" ref="AO16" ca="1">INDIRECT("Nov!G" &amp; COLUMN(F1) + 6)</f>
        <v>0</v>
      </c>
      <c r="AP16" s="20" cm="1">
        <f t="array" aca="1" ref="AP16" ca="1">INDIRECT("Nov!G" &amp; COLUMN(G1) + 6)</f>
        <v>0</v>
      </c>
      <c r="AQ16" s="20" cm="1">
        <f t="array" aca="1" ref="AQ16" ca="1">INDIRECT("Nov!G" &amp; COLUMN(H1) + 6)</f>
        <v>0</v>
      </c>
      <c r="AR16" s="20" cm="1">
        <f t="array" aca="1" ref="AR16" ca="1">INDIRECT("Nov!G" &amp; COLUMN(I1) + 6)</f>
        <v>0</v>
      </c>
    </row>
    <row r="17" spans="1:45" ht="16" x14ac:dyDescent="0.2">
      <c r="A17" s="117">
        <v>12</v>
      </c>
      <c r="B17" s="134" t="s">
        <v>90</v>
      </c>
      <c r="C17" s="135">
        <f>Dez!C$4</f>
        <v>2000</v>
      </c>
      <c r="D17" s="109">
        <f>Dez!G$4</f>
        <v>0</v>
      </c>
      <c r="E17" s="109">
        <f>Dez!L$4</f>
        <v>0</v>
      </c>
      <c r="F17" s="111">
        <f t="shared" si="1"/>
        <v>0</v>
      </c>
      <c r="G17" s="143">
        <f>SUMIF(Dez!$Y$24:$Y$27,"Invest1",Dez!$C$24:$C$28)</f>
        <v>0</v>
      </c>
      <c r="H17" s="143">
        <f>SUMIF(Dez!$Y$24:$Y$27,"Invest2",Dez!$C$24:$C$28)</f>
        <v>0</v>
      </c>
      <c r="I17" s="143">
        <f>SUMIF(Dez!$Y$24:$Y$27,"Invest3",Dez!$C$24:$C$28)</f>
        <v>0</v>
      </c>
      <c r="J17" s="112">
        <f>SUMIF(Dez!$Y$24:$Y$27,"Invest4",Dez!$C$24:$C$28)</f>
        <v>0</v>
      </c>
      <c r="K17" s="143">
        <f>SUMIF(Dez!$Y$24:$Y$27,"Invest5",Dez!$C$24:$C$28)</f>
        <v>0</v>
      </c>
      <c r="L17" s="135">
        <f>Dez!C$22</f>
        <v>0</v>
      </c>
      <c r="M17" s="151">
        <f>Dez!C$31</f>
        <v>0</v>
      </c>
      <c r="N17" s="152">
        <f t="shared" si="0"/>
        <v>2000</v>
      </c>
      <c r="O17" s="108">
        <f>SUMIF(Dez!DezCatDv,Tabelas!O5,DezDV[[#All],[Coluna2]])</f>
        <v>0</v>
      </c>
      <c r="P17" s="108">
        <f>SUMIF(Dez!DezCatDv,Tabelas!P5,DezDV[[#All],[Coluna2]])</f>
        <v>0</v>
      </c>
      <c r="Q17" s="108">
        <f>SUMIF(Dez!DezCatDv,Tabelas!Q5,DezDV[[#All],[Coluna2]])</f>
        <v>0</v>
      </c>
      <c r="R17" s="108">
        <f>SUMIF(Dez!DezCatDv,Tabelas!R5,DezDV[[#All],[Coluna2]])</f>
        <v>0</v>
      </c>
      <c r="S17" s="108">
        <f>SUMIF(Dez!DezCatDv,Tabelas!S5,DezDV[[#All],[Coluna2]])</f>
        <v>0</v>
      </c>
      <c r="T17" s="108">
        <f>SUMIF(Dez!DezCatDv,Tabelas!T5,DezDV[[#All],[Coluna2]])</f>
        <v>0</v>
      </c>
      <c r="U17" s="108">
        <f>SUMIF(Dez!DezCatDv,Tabelas!U5,DezDV[[#All],[Coluna2]])</f>
        <v>0</v>
      </c>
      <c r="V17" s="108">
        <f>SUMIF(Dez!DezCatDv,Tabelas!V5,DezDV[[#All],[Coluna2]])</f>
        <v>0</v>
      </c>
      <c r="W17" s="108">
        <f>SUMIF(Dez!DezCatDv,Tabelas!W5,DezDV[[#All],[Coluna2]])</f>
        <v>0</v>
      </c>
      <c r="X17" s="108">
        <f>SUMIF(Dez!DezCatDv,Tabelas!X5,DezDV[[#All],[Coluna2]])</f>
        <v>0</v>
      </c>
      <c r="Y17" s="105">
        <f>IF(Dez!$H$6="-",0,IF(Dez!$H$6="",0,1))</f>
        <v>0</v>
      </c>
      <c r="Z17" s="105">
        <f>IF(Dez!$H$7="-",0,IF(Dez!$H$7="",0,1))</f>
        <v>0</v>
      </c>
      <c r="AA17" s="105">
        <f>IF(Dez!$H$8="-",0,IF(Dez!$H$8="",0,1))</f>
        <v>0</v>
      </c>
      <c r="AB17" s="105">
        <f>IF(Dez!$H$9="-",0,IF(Dez!$H$9="",0,1))</f>
        <v>0</v>
      </c>
      <c r="AC17" s="105">
        <f>IF(Dez!$H$10="-",0,IF(Dez!$H$10="",0,1))</f>
        <v>0</v>
      </c>
      <c r="AD17" s="105">
        <f>IF(Dez!$H$11="-",0,IF(Dez!$H$11="",0,1))</f>
        <v>0</v>
      </c>
      <c r="AE17" s="105">
        <f>IF(Dez!$H$12="-",0,IF(Dez!$H$12="",0,1))</f>
        <v>0</v>
      </c>
      <c r="AF17" s="105">
        <f>IF(Dez!$H$13="-",0,IF(Dez!$H$13="",0,1))</f>
        <v>0</v>
      </c>
      <c r="AG17" s="105">
        <f>IF(Dez!$H$14="-",0,IF(Dez!$H$14="",0,1))</f>
        <v>0</v>
      </c>
      <c r="AH17" s="105">
        <f>IF(Dez!$H$15="-",0,IF(Dez!$H$15="",0,1))</f>
        <v>0</v>
      </c>
      <c r="AI17" s="107">
        <f>Dez!$G6</f>
        <v>0</v>
      </c>
      <c r="AJ17" s="107" cm="1">
        <f t="array" aca="1" ref="AJ17" ca="1">INDIRECT("Dez!G" &amp; COLUMN(A1) + 6)</f>
        <v>0</v>
      </c>
      <c r="AK17" s="107" cm="1">
        <f t="array" aca="1" ref="AK17" ca="1">INDIRECT("Dez!G" &amp; COLUMN(B1) + 6)</f>
        <v>0</v>
      </c>
      <c r="AL17" s="107" cm="1">
        <f t="array" aca="1" ref="AL17" ca="1">INDIRECT("Dez!G" &amp; COLUMN(C1) + 6)</f>
        <v>0</v>
      </c>
      <c r="AM17" s="107" cm="1">
        <f t="array" aca="1" ref="AM17" ca="1">INDIRECT("Dez!G" &amp; COLUMN(D1) + 6)</f>
        <v>0</v>
      </c>
      <c r="AN17" s="107" cm="1">
        <f t="array" aca="1" ref="AN17" ca="1">INDIRECT("Dez!G" &amp; COLUMN(E1) + 6)</f>
        <v>0</v>
      </c>
      <c r="AO17" s="107" cm="1">
        <f t="array" aca="1" ref="AO17" ca="1">INDIRECT("Dez!G" &amp; COLUMN(F1) + 6)</f>
        <v>0</v>
      </c>
      <c r="AP17" s="107" cm="1">
        <f t="array" aca="1" ref="AP17" ca="1">INDIRECT("Dez!G" &amp; COLUMN(G1) + 6)</f>
        <v>0</v>
      </c>
      <c r="AQ17" s="107" cm="1">
        <f t="array" aca="1" ref="AQ17" ca="1">INDIRECT("Dez!G" &amp; COLUMN(H1) + 6)</f>
        <v>0</v>
      </c>
      <c r="AR17" s="107" cm="1">
        <f t="array" aca="1" ref="AR17" ca="1">INDIRECT("Dez!G" &amp; COLUMN(I1) + 6)</f>
        <v>0</v>
      </c>
    </row>
    <row r="18" spans="1:45" ht="16" x14ac:dyDescent="0.2">
      <c r="B18" s="34"/>
      <c r="C18" s="34"/>
      <c r="G18" s="34"/>
      <c r="H18" s="34"/>
      <c r="I18" s="34"/>
      <c r="K18" s="34"/>
      <c r="L18" s="34"/>
      <c r="M18" s="34"/>
      <c r="N18" s="34"/>
      <c r="O18" s="32"/>
    </row>
    <row r="19" spans="1:45" ht="16" x14ac:dyDescent="0.2">
      <c r="B19" s="34"/>
      <c r="C19" s="34"/>
      <c r="F19" s="23"/>
      <c r="G19" s="34"/>
      <c r="H19" s="34"/>
      <c r="I19" s="34"/>
      <c r="K19" s="34"/>
      <c r="L19" s="34"/>
      <c r="M19" s="34"/>
      <c r="N19" s="34"/>
      <c r="O19" s="32"/>
      <c r="Y19" s="35"/>
    </row>
    <row r="20" spans="1:45" x14ac:dyDescent="0.2">
      <c r="B20" s="58" t="s">
        <v>91</v>
      </c>
      <c r="C20" t="s">
        <v>92</v>
      </c>
      <c r="D20" s="34" t="s">
        <v>93</v>
      </c>
      <c r="E20" s="34" t="s">
        <v>94</v>
      </c>
      <c r="F20" s="34" t="s">
        <v>95</v>
      </c>
      <c r="G20" s="34" t="s">
        <v>96</v>
      </c>
      <c r="H20" s="34" t="s">
        <v>97</v>
      </c>
      <c r="I20" s="34" t="s">
        <v>98</v>
      </c>
      <c r="J20" s="34" t="s">
        <v>99</v>
      </c>
      <c r="K20" s="34" t="s">
        <v>100</v>
      </c>
      <c r="L20" s="34" t="s">
        <v>101</v>
      </c>
      <c r="M20" s="34" t="s">
        <v>102</v>
      </c>
      <c r="N20" s="34" t="s">
        <v>103</v>
      </c>
      <c r="O20" t="s">
        <v>104</v>
      </c>
      <c r="P20" s="34" t="s">
        <v>105</v>
      </c>
      <c r="Q20" s="34" t="s">
        <v>106</v>
      </c>
      <c r="R20" s="34" t="s">
        <v>107</v>
      </c>
      <c r="S20" s="34" t="s">
        <v>108</v>
      </c>
      <c r="T20" s="34" t="s">
        <v>109</v>
      </c>
      <c r="U20" s="34" t="s">
        <v>110</v>
      </c>
      <c r="V20" s="34" t="s">
        <v>111</v>
      </c>
      <c r="W20" s="34" t="s">
        <v>112</v>
      </c>
      <c r="X20" s="34" t="s">
        <v>113</v>
      </c>
      <c r="Y20" s="34" t="s">
        <v>114</v>
      </c>
      <c r="Z20" s="34" t="s">
        <v>115</v>
      </c>
      <c r="AA20" s="34" t="s">
        <v>116</v>
      </c>
      <c r="AB20" s="34" t="s">
        <v>117</v>
      </c>
      <c r="AC20" s="34" t="s">
        <v>118</v>
      </c>
      <c r="AD20" s="34" t="s">
        <v>119</v>
      </c>
      <c r="AE20" s="34" t="s">
        <v>120</v>
      </c>
      <c r="AF20" s="34" t="s">
        <v>121</v>
      </c>
      <c r="AG20" s="34" t="s">
        <v>122</v>
      </c>
      <c r="AH20" s="34" t="s">
        <v>123</v>
      </c>
      <c r="AI20" s="34" t="s">
        <v>124</v>
      </c>
      <c r="AJ20" s="34" t="s">
        <v>125</v>
      </c>
      <c r="AK20" s="34" t="s">
        <v>126</v>
      </c>
      <c r="AL20" s="34" t="s">
        <v>127</v>
      </c>
      <c r="AM20" s="34" t="s">
        <v>128</v>
      </c>
      <c r="AN20" s="34" t="s">
        <v>129</v>
      </c>
      <c r="AO20" s="34" t="s">
        <v>130</v>
      </c>
      <c r="AP20" s="34" t="s">
        <v>131</v>
      </c>
      <c r="AQ20" s="34" t="s">
        <v>132</v>
      </c>
      <c r="AR20" s="34" t="s">
        <v>133</v>
      </c>
    </row>
    <row r="21" spans="1:45" x14ac:dyDescent="0.2">
      <c r="B21" s="36" t="s">
        <v>79</v>
      </c>
      <c r="C21" s="33">
        <v>2000</v>
      </c>
      <c r="D21" s="33">
        <v>0</v>
      </c>
      <c r="E21" s="33">
        <v>0</v>
      </c>
      <c r="F21" s="33">
        <v>0</v>
      </c>
      <c r="G21" s="33">
        <v>0</v>
      </c>
      <c r="H21" s="33">
        <v>0</v>
      </c>
      <c r="I21" s="33">
        <v>0</v>
      </c>
      <c r="J21" s="33">
        <v>0</v>
      </c>
      <c r="K21" s="33">
        <v>0</v>
      </c>
      <c r="L21" s="33">
        <v>0</v>
      </c>
      <c r="M21" s="33">
        <v>0</v>
      </c>
      <c r="N21" s="153">
        <v>2000</v>
      </c>
      <c r="O21" s="180">
        <v>0</v>
      </c>
      <c r="P21" s="33">
        <v>0</v>
      </c>
      <c r="Q21" s="33">
        <v>0</v>
      </c>
      <c r="R21" s="33">
        <v>0</v>
      </c>
      <c r="S21" s="33">
        <v>0</v>
      </c>
      <c r="T21" s="33">
        <v>0</v>
      </c>
      <c r="U21" s="33">
        <v>0</v>
      </c>
      <c r="V21" s="33">
        <v>0</v>
      </c>
      <c r="W21" s="33">
        <v>0</v>
      </c>
      <c r="X21" s="33">
        <v>0</v>
      </c>
      <c r="Y21" s="33">
        <v>0</v>
      </c>
      <c r="Z21" s="33">
        <v>0</v>
      </c>
      <c r="AA21" s="33">
        <v>0</v>
      </c>
      <c r="AB21" s="33">
        <v>0</v>
      </c>
      <c r="AC21" s="33">
        <v>0</v>
      </c>
      <c r="AD21" s="33">
        <v>0</v>
      </c>
      <c r="AE21" s="33">
        <v>0</v>
      </c>
      <c r="AF21" s="33">
        <v>0</v>
      </c>
      <c r="AG21" s="33">
        <v>0</v>
      </c>
      <c r="AH21" s="33">
        <v>0</v>
      </c>
      <c r="AI21" s="33">
        <v>0</v>
      </c>
      <c r="AJ21" s="33">
        <v>0</v>
      </c>
      <c r="AK21" s="33">
        <v>0</v>
      </c>
      <c r="AL21" s="33">
        <v>0</v>
      </c>
      <c r="AM21" s="33">
        <v>0</v>
      </c>
      <c r="AN21" s="33">
        <v>0</v>
      </c>
      <c r="AO21" s="33">
        <v>0</v>
      </c>
      <c r="AP21" s="33">
        <v>0</v>
      </c>
      <c r="AQ21" s="33">
        <v>0</v>
      </c>
      <c r="AR21" s="33">
        <v>0</v>
      </c>
    </row>
    <row r="22" spans="1:45" x14ac:dyDescent="0.2">
      <c r="B22" s="36" t="s">
        <v>134</v>
      </c>
      <c r="C22" s="34">
        <v>2000</v>
      </c>
      <c r="D22" s="34">
        <v>0</v>
      </c>
      <c r="E22" s="34">
        <v>0</v>
      </c>
      <c r="F22" s="34">
        <v>0</v>
      </c>
      <c r="G22" s="34">
        <v>0</v>
      </c>
      <c r="H22" s="34">
        <v>0</v>
      </c>
      <c r="I22" s="34">
        <v>0</v>
      </c>
      <c r="J22" s="34">
        <v>0</v>
      </c>
      <c r="K22" s="34">
        <v>0</v>
      </c>
      <c r="L22" s="34">
        <v>0</v>
      </c>
      <c r="M22" s="34">
        <v>0</v>
      </c>
      <c r="N22" s="34">
        <v>2000</v>
      </c>
      <c r="O22">
        <v>0</v>
      </c>
      <c r="P22" s="34">
        <v>0</v>
      </c>
      <c r="Q22" s="34">
        <v>0</v>
      </c>
      <c r="R22" s="34">
        <v>0</v>
      </c>
      <c r="S22" s="34">
        <v>0</v>
      </c>
      <c r="T22" s="34">
        <v>0</v>
      </c>
      <c r="U22" s="34">
        <v>0</v>
      </c>
      <c r="V22" s="34">
        <v>0</v>
      </c>
      <c r="W22" s="34">
        <v>0</v>
      </c>
      <c r="X22" s="34">
        <v>0</v>
      </c>
      <c r="Y22" s="34">
        <v>0</v>
      </c>
      <c r="Z22" s="34">
        <v>0</v>
      </c>
      <c r="AA22" s="34">
        <v>0</v>
      </c>
      <c r="AB22" s="34">
        <v>0</v>
      </c>
      <c r="AC22" s="34">
        <v>0</v>
      </c>
      <c r="AD22" s="34">
        <v>0</v>
      </c>
      <c r="AE22" s="34">
        <v>0</v>
      </c>
      <c r="AF22" s="34">
        <v>0</v>
      </c>
      <c r="AG22" s="34">
        <v>0</v>
      </c>
      <c r="AH22" s="34">
        <v>0</v>
      </c>
      <c r="AI22" s="34">
        <v>0</v>
      </c>
      <c r="AJ22" s="34">
        <v>0</v>
      </c>
      <c r="AK22" s="34">
        <v>0</v>
      </c>
      <c r="AL22" s="34">
        <v>0</v>
      </c>
      <c r="AM22" s="34">
        <v>0</v>
      </c>
      <c r="AN22" s="34">
        <v>0</v>
      </c>
      <c r="AO22" s="34">
        <v>0</v>
      </c>
      <c r="AP22" s="34">
        <v>0</v>
      </c>
      <c r="AQ22" s="34">
        <v>0</v>
      </c>
      <c r="AR22" s="34">
        <v>0</v>
      </c>
    </row>
    <row r="23" spans="1:45" x14ac:dyDescent="0.2">
      <c r="G23" s="34"/>
      <c r="H23" s="34"/>
      <c r="I23" s="34"/>
      <c r="K23" s="34"/>
      <c r="L23" s="34"/>
      <c r="M23" s="34"/>
      <c r="N23" s="34"/>
    </row>
    <row r="24" spans="1:45" ht="16" x14ac:dyDescent="0.2">
      <c r="A24" s="32"/>
      <c r="B24" s="34"/>
      <c r="C24" s="34"/>
      <c r="G24" s="34"/>
      <c r="H24" s="34"/>
      <c r="I24" s="34"/>
      <c r="K24" s="34"/>
      <c r="L24" s="34"/>
      <c r="M24" s="34"/>
      <c r="N24" s="34"/>
    </row>
    <row r="25" spans="1:45" ht="16" x14ac:dyDescent="0.2">
      <c r="B25" s="58" t="s">
        <v>135</v>
      </c>
      <c r="C25" s="34"/>
      <c r="D25" s="7" t="s">
        <v>136</v>
      </c>
      <c r="F25" s="58" t="s">
        <v>135</v>
      </c>
      <c r="G25" s="34"/>
      <c r="H25" s="7" t="s">
        <v>136</v>
      </c>
      <c r="I25" s="34"/>
      <c r="J25" s="58" t="s">
        <v>135</v>
      </c>
      <c r="K25" s="34"/>
      <c r="L25" s="37" t="s">
        <v>136</v>
      </c>
      <c r="M25" s="154"/>
      <c r="N25" s="58" t="s">
        <v>135</v>
      </c>
      <c r="P25" s="37" t="s">
        <v>136</v>
      </c>
      <c r="R25" s="38"/>
      <c r="S25" s="39" t="s">
        <v>137</v>
      </c>
      <c r="T25" s="40"/>
      <c r="U25" s="40"/>
      <c r="V25" s="40"/>
      <c r="W25" s="40"/>
      <c r="X25" s="41"/>
      <c r="AF25" s="42"/>
      <c r="AG25" s="42"/>
      <c r="AH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</row>
    <row r="26" spans="1:45" ht="16" x14ac:dyDescent="0.2">
      <c r="B26" s="36" t="s">
        <v>93</v>
      </c>
      <c r="C26" s="33">
        <v>0</v>
      </c>
      <c r="D26" s="113">
        <f>IF(C21=0,"-",GETPIVOTDATA("Soma de Despesa Fixa",$B$25)/C21)</f>
        <v>0</v>
      </c>
      <c r="E26" s="116"/>
      <c r="F26" s="36" t="s">
        <v>104</v>
      </c>
      <c r="G26" s="144">
        <v>0</v>
      </c>
      <c r="H26" s="145">
        <f>GETPIVOTDATA("DespVar1",$F$25)/C21</f>
        <v>0</v>
      </c>
      <c r="I26" s="34"/>
      <c r="J26" s="36" t="s">
        <v>96</v>
      </c>
      <c r="K26" s="33">
        <v>0</v>
      </c>
      <c r="L26" s="155">
        <f>GETPIVOTDATA("Investimento 1",$J$25)/C21</f>
        <v>0</v>
      </c>
      <c r="M26" s="156"/>
      <c r="N26" s="36" t="s">
        <v>124</v>
      </c>
      <c r="O26" s="181">
        <v>0</v>
      </c>
      <c r="P26" s="118">
        <f>GETPIVOTDATA("DespFixa1",$N$25)/$C$21</f>
        <v>0</v>
      </c>
      <c r="R26" s="38"/>
      <c r="S26" s="39"/>
      <c r="T26" s="43" t="s">
        <v>50</v>
      </c>
      <c r="U26" s="43" t="s">
        <v>1</v>
      </c>
      <c r="V26" s="43" t="s">
        <v>51</v>
      </c>
      <c r="W26" s="43" t="s">
        <v>138</v>
      </c>
      <c r="X26" s="43" t="s">
        <v>59</v>
      </c>
      <c r="AF26" s="42"/>
      <c r="AG26" s="42"/>
      <c r="AH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</row>
    <row r="27" spans="1:45" ht="16" x14ac:dyDescent="0.2">
      <c r="B27" s="36" t="s">
        <v>94</v>
      </c>
      <c r="C27" s="33">
        <v>0</v>
      </c>
      <c r="D27" s="113">
        <f>IF(C21=0,"-",GETPIVOTDATA("Soma de Despesa Variável",$B$25)/C21)</f>
        <v>0</v>
      </c>
      <c r="F27" s="36" t="s">
        <v>105</v>
      </c>
      <c r="G27" s="144">
        <v>0</v>
      </c>
      <c r="H27" s="145">
        <f>GETPIVOTDATA("DespVar2",$F$25)/C21</f>
        <v>0</v>
      </c>
      <c r="I27" s="34"/>
      <c r="J27" s="36" t="s">
        <v>97</v>
      </c>
      <c r="K27" s="33">
        <v>0</v>
      </c>
      <c r="L27" s="155">
        <f>GETPIVOTDATA("Investimento 2",$J$25)/C21</f>
        <v>0</v>
      </c>
      <c r="M27" s="156"/>
      <c r="N27" s="36" t="s">
        <v>125</v>
      </c>
      <c r="O27" s="181">
        <v>0</v>
      </c>
      <c r="P27" s="118">
        <f>GETPIVOTDATA("DespFixa2",$N$25)/$C$21</f>
        <v>0</v>
      </c>
      <c r="R27" s="38"/>
      <c r="S27" s="44" t="s">
        <v>79</v>
      </c>
      <c r="T27" s="45">
        <f>C6</f>
        <v>2000</v>
      </c>
      <c r="U27" s="45">
        <f>D6</f>
        <v>0</v>
      </c>
      <c r="V27" s="45">
        <f>E6</f>
        <v>0</v>
      </c>
      <c r="W27" s="45">
        <f>L6</f>
        <v>0</v>
      </c>
      <c r="X27" s="45">
        <f>M6</f>
        <v>0</v>
      </c>
      <c r="AF27" s="42"/>
      <c r="AG27" s="42"/>
      <c r="AH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</row>
    <row r="28" spans="1:45" ht="16" x14ac:dyDescent="0.2">
      <c r="B28" s="36" t="s">
        <v>102</v>
      </c>
      <c r="C28" s="33">
        <v>0</v>
      </c>
      <c r="D28" s="113">
        <f>IF(C21=0,"-",GETPIVOTDATA("Soma de Outros",$B$25)/C21)</f>
        <v>0</v>
      </c>
      <c r="F28" s="36" t="s">
        <v>106</v>
      </c>
      <c r="G28" s="144">
        <v>0</v>
      </c>
      <c r="H28" s="145">
        <f>GETPIVOTDATA("DespVar3",$F$25)/C21</f>
        <v>0</v>
      </c>
      <c r="I28" s="34"/>
      <c r="J28" s="36" t="s">
        <v>98</v>
      </c>
      <c r="K28" s="33">
        <v>0</v>
      </c>
      <c r="L28" s="155">
        <f>GETPIVOTDATA("Investimento 3",$J$25)/C21</f>
        <v>0</v>
      </c>
      <c r="M28" s="156"/>
      <c r="N28" s="36" t="s">
        <v>126</v>
      </c>
      <c r="O28" s="181">
        <v>0</v>
      </c>
      <c r="P28" s="118">
        <f>GETPIVOTDATA("DespFixa3",$N$25)/$C$21</f>
        <v>0</v>
      </c>
      <c r="R28" s="38"/>
      <c r="S28" s="44" t="s">
        <v>80</v>
      </c>
      <c r="T28" s="45">
        <f t="shared" ref="T28:V38" si="2">C7</f>
        <v>2000</v>
      </c>
      <c r="U28" s="45">
        <f t="shared" si="2"/>
        <v>0</v>
      </c>
      <c r="V28" s="45">
        <f t="shared" si="2"/>
        <v>0</v>
      </c>
      <c r="W28" s="45">
        <f t="shared" ref="W28:X38" si="3">L7</f>
        <v>0</v>
      </c>
      <c r="X28" s="45">
        <f t="shared" si="3"/>
        <v>0</v>
      </c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</row>
    <row r="29" spans="1:45" ht="16" x14ac:dyDescent="0.2">
      <c r="B29" s="36" t="s">
        <v>101</v>
      </c>
      <c r="C29" s="33">
        <v>0</v>
      </c>
      <c r="D29" s="113">
        <f>IF(C21=0,"-",GETPIVOTDATA("Soma de Total Investimentos",$B$25)/C21)</f>
        <v>0</v>
      </c>
      <c r="F29" s="36" t="s">
        <v>107</v>
      </c>
      <c r="G29" s="144">
        <v>0</v>
      </c>
      <c r="H29" s="145">
        <f>GETPIVOTDATA("DespVar4",$F$25)/C21</f>
        <v>0</v>
      </c>
      <c r="I29" s="34"/>
      <c r="J29" s="36" t="s">
        <v>99</v>
      </c>
      <c r="K29" s="33">
        <v>0</v>
      </c>
      <c r="L29" s="155">
        <f>GETPIVOTDATA("Investimento 4",$J$25)/C21</f>
        <v>0</v>
      </c>
      <c r="M29" s="156"/>
      <c r="N29" s="36" t="s">
        <v>127</v>
      </c>
      <c r="O29" s="181">
        <v>0</v>
      </c>
      <c r="P29" s="118">
        <f>GETPIVOTDATA("DespFixa4",$N$25)/$C$21</f>
        <v>0</v>
      </c>
      <c r="R29" s="38"/>
      <c r="S29" s="44" t="s">
        <v>81</v>
      </c>
      <c r="T29" s="45">
        <f t="shared" si="2"/>
        <v>2000</v>
      </c>
      <c r="U29" s="45">
        <f t="shared" si="2"/>
        <v>0</v>
      </c>
      <c r="V29" s="45">
        <f t="shared" si="2"/>
        <v>0</v>
      </c>
      <c r="W29" s="45">
        <f t="shared" si="3"/>
        <v>0</v>
      </c>
      <c r="X29" s="45">
        <f t="shared" si="3"/>
        <v>0</v>
      </c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</row>
    <row r="30" spans="1:45" ht="16" x14ac:dyDescent="0.2">
      <c r="B30" s="46" t="s">
        <v>139</v>
      </c>
      <c r="C30" s="115">
        <f>SUM(C26:C29)</f>
        <v>0</v>
      </c>
      <c r="D30" s="114">
        <f>SUM(D26:D29)</f>
        <v>0</v>
      </c>
      <c r="F30" s="36" t="s">
        <v>108</v>
      </c>
      <c r="G30" s="144">
        <v>0</v>
      </c>
      <c r="H30" s="145">
        <f>GETPIVOTDATA("DespVar5",$F$25)/C21</f>
        <v>0</v>
      </c>
      <c r="I30" s="34"/>
      <c r="J30" s="36" t="s">
        <v>100</v>
      </c>
      <c r="K30" s="33">
        <v>0</v>
      </c>
      <c r="L30" s="155">
        <f>GETPIVOTDATA("Investimento 5",$J$25)/C21</f>
        <v>0</v>
      </c>
      <c r="M30" s="157"/>
      <c r="N30" s="36" t="s">
        <v>128</v>
      </c>
      <c r="O30" s="181">
        <v>0</v>
      </c>
      <c r="P30" s="118">
        <f>GETPIVOTDATA("DespFixa5",$N$25)/$C$21</f>
        <v>0</v>
      </c>
      <c r="R30" s="38"/>
      <c r="S30" s="44" t="s">
        <v>82</v>
      </c>
      <c r="T30" s="45">
        <f t="shared" si="2"/>
        <v>2000</v>
      </c>
      <c r="U30" s="45">
        <f t="shared" si="2"/>
        <v>0</v>
      </c>
      <c r="V30" s="45">
        <f t="shared" si="2"/>
        <v>0</v>
      </c>
      <c r="W30" s="45">
        <f t="shared" si="3"/>
        <v>0</v>
      </c>
      <c r="X30" s="45">
        <f t="shared" si="3"/>
        <v>0</v>
      </c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</row>
    <row r="31" spans="1:45" ht="16" x14ac:dyDescent="0.2">
      <c r="A31" s="42"/>
      <c r="B31" s="48" t="s">
        <v>60</v>
      </c>
      <c r="C31" s="49">
        <f>C21-C26-C27-C28-C29</f>
        <v>2000</v>
      </c>
      <c r="D31" s="42"/>
      <c r="E31" s="42"/>
      <c r="F31" s="59" t="s">
        <v>109</v>
      </c>
      <c r="G31" s="146">
        <v>0</v>
      </c>
      <c r="H31" s="147">
        <f>GETPIVOTDATA("DespVar6",$F$25)/C21</f>
        <v>0</v>
      </c>
      <c r="I31" s="141"/>
      <c r="J31" s="184" t="s">
        <v>101</v>
      </c>
      <c r="K31" s="185">
        <v>0</v>
      </c>
      <c r="L31" s="158">
        <f>SUM(L26:L30)</f>
        <v>0</v>
      </c>
      <c r="M31" s="141"/>
      <c r="N31" s="59" t="s">
        <v>129</v>
      </c>
      <c r="O31" s="182">
        <v>0</v>
      </c>
      <c r="P31" s="161">
        <f>GETPIVOTDATA("DespFixa6",$N$25)/$C$21</f>
        <v>0</v>
      </c>
      <c r="Q31" s="141"/>
      <c r="R31" s="38"/>
      <c r="S31" s="44" t="s">
        <v>83</v>
      </c>
      <c r="T31" s="45">
        <f t="shared" si="2"/>
        <v>2000</v>
      </c>
      <c r="U31" s="45">
        <f t="shared" si="2"/>
        <v>0</v>
      </c>
      <c r="V31" s="45">
        <f t="shared" si="2"/>
        <v>0</v>
      </c>
      <c r="W31" s="45">
        <f t="shared" si="3"/>
        <v>0</v>
      </c>
      <c r="X31" s="45">
        <f t="shared" si="3"/>
        <v>0</v>
      </c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</row>
    <row r="32" spans="1:45" ht="16" x14ac:dyDescent="0.2">
      <c r="A32" s="50"/>
      <c r="B32" s="51" t="s">
        <v>52</v>
      </c>
      <c r="C32" s="52">
        <f>SUM(C26:C29)</f>
        <v>0</v>
      </c>
      <c r="D32" s="50"/>
      <c r="E32" s="50"/>
      <c r="F32" s="59" t="s">
        <v>110</v>
      </c>
      <c r="G32" s="146">
        <v>0</v>
      </c>
      <c r="H32" s="147">
        <f>GETPIVOTDATA("DespVar7",$F$25)/C21</f>
        <v>0</v>
      </c>
      <c r="I32" s="141"/>
      <c r="J32" s="42"/>
      <c r="K32" s="141"/>
      <c r="L32" s="141"/>
      <c r="M32" s="141"/>
      <c r="N32" s="59" t="s">
        <v>130</v>
      </c>
      <c r="O32" s="182">
        <v>0</v>
      </c>
      <c r="P32" s="161">
        <f>GETPIVOTDATA("DespFixa7",$N$25)/$C$21</f>
        <v>0</v>
      </c>
      <c r="Q32" s="141"/>
      <c r="R32" s="38"/>
      <c r="S32" s="44" t="s">
        <v>84</v>
      </c>
      <c r="T32" s="45">
        <f t="shared" si="2"/>
        <v>2000</v>
      </c>
      <c r="U32" s="45">
        <f t="shared" si="2"/>
        <v>0</v>
      </c>
      <c r="V32" s="45">
        <f t="shared" si="2"/>
        <v>0</v>
      </c>
      <c r="W32" s="45">
        <f t="shared" si="3"/>
        <v>0</v>
      </c>
      <c r="X32" s="45">
        <f t="shared" si="3"/>
        <v>0</v>
      </c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</row>
    <row r="33" spans="1:45" ht="16" x14ac:dyDescent="0.2">
      <c r="A33" s="50"/>
      <c r="B33" s="136" t="s">
        <v>140</v>
      </c>
      <c r="C33" s="137">
        <f>IF(C21=0,"-",C30/C21)</f>
        <v>0</v>
      </c>
      <c r="D33" s="53">
        <f>IF(1-C33&gt;0,1-C33,0)</f>
        <v>1</v>
      </c>
      <c r="E33" s="50"/>
      <c r="F33" s="59" t="s">
        <v>111</v>
      </c>
      <c r="G33" s="146">
        <v>0</v>
      </c>
      <c r="H33" s="147">
        <f>GETPIVOTDATA("DespVar8",$F$25)/C21</f>
        <v>0</v>
      </c>
      <c r="I33" s="141"/>
      <c r="J33" s="42"/>
      <c r="K33" s="141"/>
      <c r="L33" s="141"/>
      <c r="M33" s="141"/>
      <c r="N33" s="59" t="s">
        <v>131</v>
      </c>
      <c r="O33" s="182">
        <v>0</v>
      </c>
      <c r="P33" s="161">
        <f>GETPIVOTDATA("DespFixa8",$N$25)/$C$21</f>
        <v>0</v>
      </c>
      <c r="Q33" s="141"/>
      <c r="R33" s="38"/>
      <c r="S33" s="44" t="s">
        <v>85</v>
      </c>
      <c r="T33" s="45">
        <f t="shared" si="2"/>
        <v>2000</v>
      </c>
      <c r="U33" s="45">
        <f t="shared" si="2"/>
        <v>0</v>
      </c>
      <c r="V33" s="45">
        <f t="shared" si="2"/>
        <v>0</v>
      </c>
      <c r="W33" s="45">
        <f t="shared" si="3"/>
        <v>0</v>
      </c>
      <c r="X33" s="45">
        <f t="shared" si="3"/>
        <v>0</v>
      </c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</row>
    <row r="34" spans="1:45" ht="16" x14ac:dyDescent="0.2">
      <c r="A34" s="50"/>
      <c r="B34" s="138"/>
      <c r="C34" s="138"/>
      <c r="D34" s="50"/>
      <c r="E34" s="52"/>
      <c r="F34" s="59" t="s">
        <v>112</v>
      </c>
      <c r="G34" s="146">
        <v>0</v>
      </c>
      <c r="H34" s="147">
        <f>GETPIVOTDATA("DespVar9",$F$29)/C21</f>
        <v>0</v>
      </c>
      <c r="I34" s="141"/>
      <c r="J34" s="42"/>
      <c r="K34" s="141"/>
      <c r="L34" s="141"/>
      <c r="M34" s="141"/>
      <c r="N34" s="59" t="s">
        <v>132</v>
      </c>
      <c r="O34" s="182">
        <v>0</v>
      </c>
      <c r="P34" s="161">
        <f>GETPIVOTDATA("DespFixa9",$N$25)/$C$21</f>
        <v>0</v>
      </c>
      <c r="Q34" s="141"/>
      <c r="R34" s="38"/>
      <c r="S34" s="44" t="s">
        <v>86</v>
      </c>
      <c r="T34" s="45">
        <f t="shared" si="2"/>
        <v>2000</v>
      </c>
      <c r="U34" s="45">
        <f t="shared" si="2"/>
        <v>0</v>
      </c>
      <c r="V34" s="45">
        <f t="shared" si="2"/>
        <v>0</v>
      </c>
      <c r="W34" s="45">
        <f t="shared" si="3"/>
        <v>0</v>
      </c>
      <c r="X34" s="45">
        <f t="shared" si="3"/>
        <v>0</v>
      </c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</row>
    <row r="35" spans="1:45" ht="16" x14ac:dyDescent="0.2">
      <c r="A35" s="50"/>
      <c r="B35" s="139" t="s">
        <v>49</v>
      </c>
      <c r="C35" s="139" t="s">
        <v>141</v>
      </c>
      <c r="D35" s="54" t="s">
        <v>141</v>
      </c>
      <c r="E35" s="54" t="s">
        <v>52</v>
      </c>
      <c r="F35" s="59" t="s">
        <v>113</v>
      </c>
      <c r="G35" s="146">
        <v>0</v>
      </c>
      <c r="H35" s="147">
        <f>GETPIVOTDATA("DespVar10",$F$29)/C21</f>
        <v>0</v>
      </c>
      <c r="I35" s="141"/>
      <c r="J35" s="54" t="s">
        <v>49</v>
      </c>
      <c r="K35" s="139" t="s">
        <v>50</v>
      </c>
      <c r="L35" s="139" t="s">
        <v>142</v>
      </c>
      <c r="M35" s="139" t="s">
        <v>60</v>
      </c>
      <c r="N35" s="59" t="s">
        <v>133</v>
      </c>
      <c r="O35" s="182">
        <v>0</v>
      </c>
      <c r="P35" s="161">
        <f>GETPIVOTDATA("DespFixa10",$N$25)/$C$21</f>
        <v>0</v>
      </c>
      <c r="Q35" s="141"/>
      <c r="R35" s="38"/>
      <c r="S35" s="44" t="s">
        <v>87</v>
      </c>
      <c r="T35" s="45">
        <f t="shared" si="2"/>
        <v>2000</v>
      </c>
      <c r="U35" s="45">
        <f t="shared" si="2"/>
        <v>0</v>
      </c>
      <c r="V35" s="45">
        <f t="shared" si="2"/>
        <v>0</v>
      </c>
      <c r="W35" s="45">
        <f t="shared" si="3"/>
        <v>0</v>
      </c>
      <c r="X35" s="45">
        <f t="shared" si="3"/>
        <v>0</v>
      </c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</row>
    <row r="36" spans="1:45" ht="16" x14ac:dyDescent="0.2">
      <c r="A36" s="50">
        <f ca="1">MONTH(TODAY())</f>
        <v>2</v>
      </c>
      <c r="B36" s="140" t="str">
        <f ca="1">VLOOKUP(A36,$A$6:$B$17,2)</f>
        <v>Fev</v>
      </c>
      <c r="C36" s="140">
        <f ca="1">VLOOKUP(A36,$A$6:$F$17,5)</f>
        <v>0</v>
      </c>
      <c r="D36" s="55">
        <f ca="1">C36</f>
        <v>0</v>
      </c>
      <c r="E36" s="55">
        <f ca="1">VLOOKUP(A36,$A$6:$F$17,6)</f>
        <v>0</v>
      </c>
      <c r="F36" s="47" t="s">
        <v>139</v>
      </c>
      <c r="G36" s="148">
        <f t="shared" ref="G36" si="4">SUM(G26:G35)</f>
        <v>0</v>
      </c>
      <c r="H36" s="47">
        <f>SUM(H26:H35)</f>
        <v>0</v>
      </c>
      <c r="I36" s="141">
        <f ca="1">MONTH(TODAY())</f>
        <v>2</v>
      </c>
      <c r="J36" s="55" t="str">
        <f ca="1">VLOOKUP(I36,$A$6:$B$17,2)</f>
        <v>Fev</v>
      </c>
      <c r="K36" s="140">
        <f ca="1">VLOOKUP(I36,$A$6:$C$17,3)</f>
        <v>2000</v>
      </c>
      <c r="L36" s="140">
        <f ca="1">VLOOKUP(I36,$A$6:$F$17,6)+VLOOKUP(I36,$A$6:$L$17,12)+VLOOKUP(I36,$A$6:$M$17,13)</f>
        <v>0</v>
      </c>
      <c r="M36" s="159">
        <f ca="1">K36-L36</f>
        <v>2000</v>
      </c>
      <c r="N36" s="160" t="s">
        <v>93</v>
      </c>
      <c r="O36" s="183">
        <v>0</v>
      </c>
      <c r="P36" s="158">
        <f>SUM(P26:P35)</f>
        <v>0</v>
      </c>
      <c r="Q36" s="141"/>
      <c r="R36" s="38"/>
      <c r="S36" s="44" t="s">
        <v>88</v>
      </c>
      <c r="T36" s="45">
        <f t="shared" si="2"/>
        <v>2000</v>
      </c>
      <c r="U36" s="45">
        <f t="shared" si="2"/>
        <v>0</v>
      </c>
      <c r="V36" s="45">
        <f t="shared" si="2"/>
        <v>0</v>
      </c>
      <c r="W36" s="45">
        <f t="shared" si="3"/>
        <v>0</v>
      </c>
      <c r="X36" s="45">
        <f t="shared" si="3"/>
        <v>0</v>
      </c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</row>
    <row r="37" spans="1:45" ht="16" x14ac:dyDescent="0.2">
      <c r="A37" s="50">
        <f ca="1">IF(A36=1,12,A36-1)</f>
        <v>1</v>
      </c>
      <c r="B37" s="140" t="str">
        <f t="shared" ref="B37:B41" ca="1" si="5">VLOOKUP(A37,$A$6:$B$17,2)</f>
        <v>Jan</v>
      </c>
      <c r="C37" s="140">
        <f t="shared" ref="C37:C41" ca="1" si="6">VLOOKUP(A37,$A$6:$F$17,5)</f>
        <v>0</v>
      </c>
      <c r="D37" s="55">
        <f t="shared" ref="D37:D41" ca="1" si="7">C37</f>
        <v>0</v>
      </c>
      <c r="E37" s="55">
        <f t="shared" ref="E37:E41" ca="1" si="8">VLOOKUP(A37,$A$6:$F$17,6)</f>
        <v>0</v>
      </c>
      <c r="F37" s="42"/>
      <c r="G37" s="141"/>
      <c r="H37" s="141"/>
      <c r="I37" s="141">
        <f ca="1">IF(I36=1,12,I36-1)</f>
        <v>1</v>
      </c>
      <c r="J37" s="55" t="str">
        <f t="shared" ref="J37:J44" ca="1" si="9">VLOOKUP(I37,$A$6:$B$17,2)</f>
        <v>Jan</v>
      </c>
      <c r="K37" s="140">
        <f t="shared" ref="K37:K44" ca="1" si="10">VLOOKUP(I37,$A$6:$C$17,3)</f>
        <v>2000</v>
      </c>
      <c r="L37" s="140">
        <f t="shared" ref="L37:L44" ca="1" si="11">VLOOKUP(I37,$A$6:$F$17,6)+VLOOKUP(I37,$A$6:$L$17,12)+VLOOKUP(I37,$A$6:$M$17,13)</f>
        <v>0</v>
      </c>
      <c r="M37" s="159">
        <f t="shared" ref="M37:M44" ca="1" si="12">K37-L37</f>
        <v>2000</v>
      </c>
      <c r="N37" s="141"/>
      <c r="O37" s="42"/>
      <c r="P37" s="141"/>
      <c r="Q37" s="141"/>
      <c r="R37" s="38"/>
      <c r="S37" s="44" t="s">
        <v>89</v>
      </c>
      <c r="T37" s="45">
        <f t="shared" si="2"/>
        <v>2000</v>
      </c>
      <c r="U37" s="45">
        <f t="shared" si="2"/>
        <v>0</v>
      </c>
      <c r="V37" s="45">
        <f t="shared" si="2"/>
        <v>0</v>
      </c>
      <c r="W37" s="45">
        <f t="shared" si="3"/>
        <v>0</v>
      </c>
      <c r="X37" s="45">
        <f t="shared" si="3"/>
        <v>0</v>
      </c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</row>
    <row r="38" spans="1:45" ht="16" x14ac:dyDescent="0.2">
      <c r="A38" s="50">
        <f ca="1">IF(A37=1,12,A37-1)</f>
        <v>12</v>
      </c>
      <c r="B38" s="140" t="str">
        <f t="shared" ca="1" si="5"/>
        <v>Dez</v>
      </c>
      <c r="C38" s="140">
        <f t="shared" ca="1" si="6"/>
        <v>0</v>
      </c>
      <c r="D38" s="55">
        <f t="shared" ca="1" si="7"/>
        <v>0</v>
      </c>
      <c r="E38" s="55">
        <f t="shared" ca="1" si="8"/>
        <v>0</v>
      </c>
      <c r="F38" s="42"/>
      <c r="G38" s="141"/>
      <c r="H38" s="141"/>
      <c r="I38" s="141">
        <f t="shared" ref="I38:I44" ca="1" si="13">IF(I37=1,12,I37-1)</f>
        <v>12</v>
      </c>
      <c r="J38" s="55" t="str">
        <f t="shared" ca="1" si="9"/>
        <v>Dez</v>
      </c>
      <c r="K38" s="140">
        <f t="shared" ca="1" si="10"/>
        <v>2000</v>
      </c>
      <c r="L38" s="140">
        <f t="shared" ca="1" si="11"/>
        <v>0</v>
      </c>
      <c r="M38" s="159">
        <f t="shared" ca="1" si="12"/>
        <v>2000</v>
      </c>
      <c r="N38" s="141"/>
      <c r="O38" s="42"/>
      <c r="P38" s="141"/>
      <c r="Q38" s="141"/>
      <c r="R38" s="38"/>
      <c r="S38" s="44" t="s">
        <v>90</v>
      </c>
      <c r="T38" s="45">
        <f t="shared" si="2"/>
        <v>2000</v>
      </c>
      <c r="U38" s="45">
        <f t="shared" si="2"/>
        <v>0</v>
      </c>
      <c r="V38" s="45">
        <f t="shared" si="2"/>
        <v>0</v>
      </c>
      <c r="W38" s="45">
        <f t="shared" si="3"/>
        <v>0</v>
      </c>
      <c r="X38" s="45">
        <f t="shared" si="3"/>
        <v>0</v>
      </c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</row>
    <row r="39" spans="1:45" ht="16" x14ac:dyDescent="0.2">
      <c r="A39" s="50">
        <f ca="1">IF(A38=1,12,A38-1)</f>
        <v>11</v>
      </c>
      <c r="B39" s="140" t="str">
        <f t="shared" ca="1" si="5"/>
        <v>Nov</v>
      </c>
      <c r="C39" s="140">
        <f t="shared" ca="1" si="6"/>
        <v>0</v>
      </c>
      <c r="D39" s="55">
        <f t="shared" ca="1" si="7"/>
        <v>0</v>
      </c>
      <c r="E39" s="55">
        <f t="shared" ca="1" si="8"/>
        <v>0</v>
      </c>
      <c r="F39" s="54" t="s">
        <v>143</v>
      </c>
      <c r="G39" s="141"/>
      <c r="H39" s="141"/>
      <c r="I39" s="141">
        <f t="shared" ca="1" si="13"/>
        <v>11</v>
      </c>
      <c r="J39" s="55" t="str">
        <f t="shared" ca="1" si="9"/>
        <v>Nov</v>
      </c>
      <c r="K39" s="140">
        <f t="shared" ca="1" si="10"/>
        <v>2000</v>
      </c>
      <c r="L39" s="140">
        <f t="shared" ca="1" si="11"/>
        <v>0</v>
      </c>
      <c r="M39" s="159">
        <f t="shared" ca="1" si="12"/>
        <v>2000</v>
      </c>
      <c r="N39" s="141"/>
      <c r="O39" s="42"/>
      <c r="P39" s="141"/>
      <c r="Q39" s="141"/>
      <c r="R39" s="38"/>
      <c r="S39" s="42"/>
      <c r="T39" s="42"/>
      <c r="U39" s="42"/>
      <c r="V39" s="42"/>
      <c r="W39" s="42"/>
      <c r="X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</row>
    <row r="40" spans="1:45" ht="16" x14ac:dyDescent="0.2">
      <c r="A40" s="50">
        <f ca="1">IF(A39=1,12,A39-1)</f>
        <v>10</v>
      </c>
      <c r="B40" s="140" t="str">
        <f t="shared" ca="1" si="5"/>
        <v>Out</v>
      </c>
      <c r="C40" s="140">
        <f t="shared" ca="1" si="6"/>
        <v>0</v>
      </c>
      <c r="D40" s="55">
        <f t="shared" ca="1" si="7"/>
        <v>0</v>
      </c>
      <c r="E40" s="55">
        <f t="shared" ca="1" si="8"/>
        <v>0</v>
      </c>
      <c r="F40" s="56">
        <f ca="1">AVERAGE(E36:E39)</f>
        <v>0</v>
      </c>
      <c r="G40" s="141"/>
      <c r="H40" s="141"/>
      <c r="I40" s="141">
        <f t="shared" ca="1" si="13"/>
        <v>10</v>
      </c>
      <c r="J40" s="55" t="str">
        <f t="shared" ca="1" si="9"/>
        <v>Out</v>
      </c>
      <c r="K40" s="140">
        <f t="shared" ca="1" si="10"/>
        <v>2000</v>
      </c>
      <c r="L40" s="140">
        <f t="shared" ca="1" si="11"/>
        <v>0</v>
      </c>
      <c r="M40" s="159">
        <f t="shared" ca="1" si="12"/>
        <v>2000</v>
      </c>
      <c r="N40" s="141"/>
      <c r="O40" s="42"/>
      <c r="P40" s="141"/>
      <c r="Q40" s="141"/>
      <c r="R40" s="38"/>
      <c r="S40" s="39" t="s">
        <v>144</v>
      </c>
      <c r="T40" s="40"/>
      <c r="U40" s="40"/>
      <c r="V40" s="40"/>
      <c r="W40" s="40"/>
      <c r="X40" s="40"/>
      <c r="Y40" s="40"/>
      <c r="Z40" s="40"/>
      <c r="AA40" s="57"/>
      <c r="AB40" s="57"/>
      <c r="AC40" s="15"/>
      <c r="AD40" s="15"/>
      <c r="AE40" s="15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</row>
    <row r="41" spans="1:45" ht="16" x14ac:dyDescent="0.2">
      <c r="A41" s="50">
        <f ca="1">IF(A40=1,12,A40-1)</f>
        <v>9</v>
      </c>
      <c r="B41" s="140" t="str">
        <f t="shared" ca="1" si="5"/>
        <v>Set</v>
      </c>
      <c r="C41" s="140">
        <f t="shared" ca="1" si="6"/>
        <v>0</v>
      </c>
      <c r="D41" s="55">
        <f t="shared" ca="1" si="7"/>
        <v>0</v>
      </c>
      <c r="E41" s="55">
        <f t="shared" ca="1" si="8"/>
        <v>0</v>
      </c>
      <c r="F41" s="42"/>
      <c r="G41" s="141"/>
      <c r="H41" s="141"/>
      <c r="I41" s="141">
        <f t="shared" ca="1" si="13"/>
        <v>9</v>
      </c>
      <c r="J41" s="55" t="str">
        <f t="shared" ca="1" si="9"/>
        <v>Set</v>
      </c>
      <c r="K41" s="140">
        <f t="shared" ca="1" si="10"/>
        <v>2000</v>
      </c>
      <c r="L41" s="140">
        <f t="shared" ca="1" si="11"/>
        <v>0</v>
      </c>
      <c r="M41" s="159">
        <f t="shared" ca="1" si="12"/>
        <v>2000</v>
      </c>
      <c r="N41" s="141"/>
      <c r="O41" s="42"/>
      <c r="P41" s="141"/>
      <c r="Q41" s="141"/>
      <c r="R41" s="38"/>
      <c r="S41" s="23"/>
      <c r="T41" s="43" t="s">
        <v>79</v>
      </c>
      <c r="U41" s="43" t="s">
        <v>80</v>
      </c>
      <c r="V41" s="43" t="s">
        <v>81</v>
      </c>
      <c r="W41" s="43" t="s">
        <v>82</v>
      </c>
      <c r="X41" s="43" t="s">
        <v>145</v>
      </c>
      <c r="Y41" s="43" t="s">
        <v>84</v>
      </c>
      <c r="Z41" s="43" t="s">
        <v>85</v>
      </c>
      <c r="AA41" s="43" t="s">
        <v>86</v>
      </c>
      <c r="AB41" s="43" t="s">
        <v>87</v>
      </c>
      <c r="AC41" s="43" t="s">
        <v>88</v>
      </c>
      <c r="AD41" s="17" t="s">
        <v>89</v>
      </c>
      <c r="AE41" s="43" t="s">
        <v>90</v>
      </c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</row>
    <row r="42" spans="1:45" ht="16" x14ac:dyDescent="0.2">
      <c r="A42" s="42"/>
      <c r="B42" s="141"/>
      <c r="C42" s="141"/>
      <c r="D42" s="42"/>
      <c r="E42" s="42"/>
      <c r="F42" s="42"/>
      <c r="G42" s="141"/>
      <c r="H42" s="141"/>
      <c r="I42" s="141">
        <f t="shared" ca="1" si="13"/>
        <v>8</v>
      </c>
      <c r="J42" s="55" t="str">
        <f t="shared" ca="1" si="9"/>
        <v>Ago</v>
      </c>
      <c r="K42" s="140">
        <f t="shared" ca="1" si="10"/>
        <v>2000</v>
      </c>
      <c r="L42" s="140">
        <f t="shared" ca="1" si="11"/>
        <v>0</v>
      </c>
      <c r="M42" s="159">
        <f t="shared" ca="1" si="12"/>
        <v>2000</v>
      </c>
      <c r="N42" s="141"/>
      <c r="O42" s="42"/>
      <c r="P42" s="141"/>
      <c r="Q42" s="141"/>
      <c r="R42" s="38"/>
      <c r="S42" s="44" t="str">
        <f>Personalização!I7</f>
        <v>Restaurante</v>
      </c>
      <c r="T42" s="45" cm="1">
        <f t="array" ref="T42">INDEX($O$6:$X$6,$AG42)</f>
        <v>0</v>
      </c>
      <c r="U42" s="45" cm="1">
        <f t="array" ref="U42">INDEX($O$7:$X$7,$AG42)</f>
        <v>0</v>
      </c>
      <c r="V42" s="45" cm="1">
        <f t="array" ref="V42">INDEX($O$8:$X$8,$AG42)</f>
        <v>0</v>
      </c>
      <c r="W42" s="45" cm="1">
        <f t="array" ref="W42">INDEX($O$9:$X$9,$AG42)</f>
        <v>0</v>
      </c>
      <c r="X42" s="45" cm="1">
        <f t="array" ref="X42">INDEX($O$10:$X$10,$AG42)</f>
        <v>0</v>
      </c>
      <c r="Y42" s="45" cm="1">
        <f t="array" ref="Y42">INDEX($O$11:$X$11,$AG42)</f>
        <v>0</v>
      </c>
      <c r="Z42" s="45" cm="1">
        <f t="array" ref="Z42">INDEX($O$12:$X$12,$AG42)</f>
        <v>0</v>
      </c>
      <c r="AA42" s="45" cm="1">
        <f t="array" ref="AA42">INDEX($O$13:$X$13,$AG42)</f>
        <v>0</v>
      </c>
      <c r="AB42" s="45" cm="1">
        <f t="array" ref="AB42">INDEX($O$14:$X$14,$AG42)</f>
        <v>0</v>
      </c>
      <c r="AC42" s="45" cm="1">
        <f t="array" ref="AC42">INDEX($O$15:$X$15,$AG42)</f>
        <v>0</v>
      </c>
      <c r="AD42" s="45" cm="1">
        <f t="array" ref="AD42">INDEX($O$16:$X$16,$AG42)</f>
        <v>0</v>
      </c>
      <c r="AE42" s="45" cm="1">
        <f t="array" ref="AE42">INDEX($O$17:$X$17,$AG42)</f>
        <v>0</v>
      </c>
      <c r="AF42" s="42"/>
      <c r="AG42" s="42">
        <v>1</v>
      </c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</row>
    <row r="43" spans="1:45" s="32" customFormat="1" ht="16" x14ac:dyDescent="0.2">
      <c r="A43" s="42"/>
      <c r="B43" s="55" t="s">
        <v>146</v>
      </c>
      <c r="C43" s="55" t="s">
        <v>147</v>
      </c>
      <c r="D43" s="55" t="s">
        <v>147</v>
      </c>
      <c r="E43" s="55" t="s">
        <v>148</v>
      </c>
      <c r="F43" s="55" t="s">
        <v>149</v>
      </c>
      <c r="G43" s="141"/>
      <c r="H43" s="141"/>
      <c r="I43" s="141">
        <f t="shared" ca="1" si="13"/>
        <v>7</v>
      </c>
      <c r="J43" s="55" t="str">
        <f t="shared" ca="1" si="9"/>
        <v>Jul</v>
      </c>
      <c r="K43" s="140">
        <f t="shared" ca="1" si="10"/>
        <v>2000</v>
      </c>
      <c r="L43" s="140">
        <f t="shared" ca="1" si="11"/>
        <v>0</v>
      </c>
      <c r="M43" s="159">
        <f t="shared" ca="1" si="12"/>
        <v>2000</v>
      </c>
      <c r="N43" s="141"/>
      <c r="O43" s="42"/>
      <c r="P43" s="42"/>
      <c r="Q43" s="42"/>
      <c r="R43" s="38"/>
      <c r="S43" s="44" t="str">
        <f>Personalização!I8</f>
        <v>Compras parceladas</v>
      </c>
      <c r="T43" s="45" cm="1">
        <f t="array" ref="T43">INDEX($O$6:$X$6,$AG43)</f>
        <v>0</v>
      </c>
      <c r="U43" s="45" cm="1">
        <f t="array" ref="U43">INDEX($O$7:$X$7,$AG43)</f>
        <v>0</v>
      </c>
      <c r="V43" s="45" cm="1">
        <f t="array" ref="V43">INDEX($O$8:$X$8,$AG43)</f>
        <v>0</v>
      </c>
      <c r="W43" s="45" cm="1">
        <f t="array" ref="W43">INDEX($O$9:$X$9,$AG43)</f>
        <v>0</v>
      </c>
      <c r="X43" s="45" cm="1">
        <f t="array" ref="X43">INDEX($O$10:$X$10,$AG43)</f>
        <v>0</v>
      </c>
      <c r="Y43" s="45" cm="1">
        <f t="array" ref="Y43">INDEX($O$11:$X$11,$AG43)</f>
        <v>0</v>
      </c>
      <c r="Z43" s="45" cm="1">
        <f t="array" ref="Z43">INDEX($O$12:$X$12,$AG43)</f>
        <v>0</v>
      </c>
      <c r="AA43" s="45" cm="1">
        <f t="array" ref="AA43">INDEX($O$13:$X$13,$AG43)</f>
        <v>0</v>
      </c>
      <c r="AB43" s="45" cm="1">
        <f t="array" ref="AB43">INDEX($O$14:$X$14,$AG43)</f>
        <v>0</v>
      </c>
      <c r="AC43" s="45" cm="1">
        <f t="array" ref="AC43">INDEX($O$15:$X$15,$AG43)</f>
        <v>0</v>
      </c>
      <c r="AD43" s="45" cm="1">
        <f t="array" ref="AD43">INDEX($O$16:$X$16,$AG43)</f>
        <v>0</v>
      </c>
      <c r="AE43" s="45" cm="1">
        <f t="array" ref="AE43">INDEX($O$17:$X$17,$AG43)</f>
        <v>0</v>
      </c>
      <c r="AF43" s="42"/>
      <c r="AG43" s="42">
        <v>2</v>
      </c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</row>
    <row r="44" spans="1:45" s="32" customFormat="1" ht="16" x14ac:dyDescent="0.2">
      <c r="A44" s="42"/>
      <c r="B44" s="55">
        <v>1</v>
      </c>
      <c r="C44" s="55">
        <v>3</v>
      </c>
      <c r="D44" s="55">
        <v>115</v>
      </c>
      <c r="E44" s="55" t="str">
        <f>IF(D44=LARGE($D$44:$D$52,1),D44,"")</f>
        <v/>
      </c>
      <c r="F44" s="55">
        <v>115</v>
      </c>
      <c r="G44" s="141"/>
      <c r="H44" s="141"/>
      <c r="I44" s="141">
        <f t="shared" ca="1" si="13"/>
        <v>6</v>
      </c>
      <c r="J44" s="55" t="str">
        <f t="shared" ca="1" si="9"/>
        <v>Jun</v>
      </c>
      <c r="K44" s="140">
        <f t="shared" ca="1" si="10"/>
        <v>2000</v>
      </c>
      <c r="L44" s="140">
        <f t="shared" ca="1" si="11"/>
        <v>0</v>
      </c>
      <c r="M44" s="159">
        <f t="shared" ca="1" si="12"/>
        <v>2000</v>
      </c>
      <c r="N44" s="141"/>
      <c r="O44" s="42"/>
      <c r="P44" s="42"/>
      <c r="Q44" s="42"/>
      <c r="R44" s="38"/>
      <c r="S44" s="44" t="str">
        <f>Personalização!I9</f>
        <v>Supermercado</v>
      </c>
      <c r="T44" s="45" cm="1">
        <f t="array" ref="T44">INDEX($O$6:$X$6,$AG44)</f>
        <v>0</v>
      </c>
      <c r="U44" s="45" cm="1">
        <f t="array" ref="U44">INDEX($O$7:$X$7,$AG44)</f>
        <v>0</v>
      </c>
      <c r="V44" s="45" cm="1">
        <f t="array" ref="V44">INDEX($O$8:$X$8,$AG44)</f>
        <v>0</v>
      </c>
      <c r="W44" s="45" cm="1">
        <f t="array" ref="W44">INDEX($O$9:$X$9,$AG44)</f>
        <v>0</v>
      </c>
      <c r="X44" s="45" cm="1">
        <f t="array" ref="X44">INDEX($O$10:$X$10,$AG44)</f>
        <v>0</v>
      </c>
      <c r="Y44" s="45" cm="1">
        <f t="array" ref="Y44">INDEX($O$11:$X$11,$AG44)</f>
        <v>0</v>
      </c>
      <c r="Z44" s="45" cm="1">
        <f t="array" ref="Z44">INDEX($O$12:$X$12,$AG44)</f>
        <v>0</v>
      </c>
      <c r="AA44" s="45" cm="1">
        <f t="array" ref="AA44">INDEX($O$13:$X$13,$AG44)</f>
        <v>0</v>
      </c>
      <c r="AB44" s="45" cm="1">
        <f t="array" ref="AB44">INDEX($O$14:$X$14,$AG44)</f>
        <v>0</v>
      </c>
      <c r="AC44" s="45" cm="1">
        <f t="array" ref="AC44">INDEX($O$15:$X$15,$AG44)</f>
        <v>0</v>
      </c>
      <c r="AD44" s="45" cm="1">
        <f t="array" ref="AD44">INDEX($O$16:$X$16,$AG44)</f>
        <v>0</v>
      </c>
      <c r="AE44" s="45" cm="1">
        <f t="array" ref="AE44">INDEX($O$17:$X$17,$AG44)</f>
        <v>0</v>
      </c>
      <c r="AF44" s="42"/>
      <c r="AG44" s="42">
        <v>3</v>
      </c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</row>
    <row r="45" spans="1:45" s="32" customFormat="1" ht="16" x14ac:dyDescent="0.2">
      <c r="A45" s="42"/>
      <c r="B45" s="55">
        <v>6.5</v>
      </c>
      <c r="C45" s="55">
        <v>2.2000000000000002</v>
      </c>
      <c r="D45" s="55">
        <v>111</v>
      </c>
      <c r="E45" s="55" t="str">
        <f>IF(D45=LARGE($D$44:$D$52,1),D45,"")</f>
        <v/>
      </c>
      <c r="F45" s="55">
        <v>11</v>
      </c>
      <c r="G45" s="141"/>
      <c r="H45" s="141"/>
      <c r="I45" s="141"/>
      <c r="J45" s="42"/>
      <c r="K45" s="141"/>
      <c r="L45" s="141"/>
      <c r="M45" s="141"/>
      <c r="N45" s="141"/>
      <c r="O45" s="42"/>
      <c r="P45" s="42"/>
      <c r="Q45" s="42"/>
      <c r="R45" s="38"/>
      <c r="S45" s="44" t="str">
        <f>Personalização!I10</f>
        <v>Lazer</v>
      </c>
      <c r="T45" s="45" cm="1">
        <f t="array" ref="T45">INDEX($O$6:$X$6,$AG45)</f>
        <v>0</v>
      </c>
      <c r="U45" s="45" cm="1">
        <f t="array" ref="U45">INDEX($O$7:$X$7,$AG45)</f>
        <v>0</v>
      </c>
      <c r="V45" s="45" cm="1">
        <f t="array" ref="V45">INDEX($O$8:$X$8,$AG45)</f>
        <v>0</v>
      </c>
      <c r="W45" s="45" cm="1">
        <f t="array" ref="W45">INDEX($O$9:$X$9,$AG45)</f>
        <v>0</v>
      </c>
      <c r="X45" s="45" cm="1">
        <f t="array" ref="X45">INDEX($O$10:$X$10,$AG45)</f>
        <v>0</v>
      </c>
      <c r="Y45" s="45" cm="1">
        <f t="array" ref="Y45">INDEX($O$11:$X$11,$AG45)</f>
        <v>0</v>
      </c>
      <c r="Z45" s="45" cm="1">
        <f t="array" ref="Z45">INDEX($O$12:$X$12,$AG45)</f>
        <v>0</v>
      </c>
      <c r="AA45" s="45" cm="1">
        <f t="array" ref="AA45">INDEX($O$13:$X$13,$AG45)</f>
        <v>0</v>
      </c>
      <c r="AB45" s="45" cm="1">
        <f t="array" ref="AB45">INDEX($O$14:$X$14,$AG45)</f>
        <v>0</v>
      </c>
      <c r="AC45" s="45" cm="1">
        <f t="array" ref="AC45">INDEX($O$15:$X$15,$AG45)</f>
        <v>0</v>
      </c>
      <c r="AD45" s="45" cm="1">
        <f t="array" ref="AD45">INDEX($O$16:$X$16,$AG45)</f>
        <v>0</v>
      </c>
      <c r="AE45" s="45" cm="1">
        <f t="array" ref="AE45">INDEX($O$17:$X$17,$AG45)</f>
        <v>0</v>
      </c>
      <c r="AF45" s="42"/>
      <c r="AG45" s="42">
        <v>4</v>
      </c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</row>
    <row r="46" spans="1:45" s="32" customFormat="1" ht="16" x14ac:dyDescent="0.2">
      <c r="A46" s="42"/>
      <c r="B46" s="55"/>
      <c r="C46" s="55"/>
      <c r="D46" s="55"/>
      <c r="E46" s="55" t="str">
        <f t="shared" ref="E46:E48" si="14">IF(D46=LARGE($D$44:$D$52,1),D46,"")</f>
        <v/>
      </c>
      <c r="F46" s="55"/>
      <c r="G46" s="141"/>
      <c r="H46" s="141"/>
      <c r="I46" s="141"/>
      <c r="J46" s="42"/>
      <c r="K46" s="141"/>
      <c r="L46" s="141"/>
      <c r="M46" s="141"/>
      <c r="N46" s="141"/>
      <c r="O46" s="42"/>
      <c r="P46" s="42"/>
      <c r="Q46" s="42"/>
      <c r="R46" s="38"/>
      <c r="S46" s="44" t="str">
        <f>Personalização!I11</f>
        <v>Transporte</v>
      </c>
      <c r="T46" s="45" cm="1">
        <f t="array" ref="T46">INDEX($O$6:$X$6,$AG46)</f>
        <v>0</v>
      </c>
      <c r="U46" s="45" cm="1">
        <f t="array" ref="U46">INDEX($O$7:$X$7,$AG46)</f>
        <v>0</v>
      </c>
      <c r="V46" s="45" cm="1">
        <f t="array" ref="V46">INDEX($O$8:$X$8,$AG46)</f>
        <v>0</v>
      </c>
      <c r="W46" s="45" cm="1">
        <f t="array" ref="W46">INDEX($O$9:$X$9,$AG46)</f>
        <v>0</v>
      </c>
      <c r="X46" s="45" cm="1">
        <f t="array" ref="X46">INDEX($O$10:$X$10,$AG46)</f>
        <v>0</v>
      </c>
      <c r="Y46" s="45" cm="1">
        <f t="array" ref="Y46">INDEX($O$11:$X$11,$AG46)</f>
        <v>0</v>
      </c>
      <c r="Z46" s="45" cm="1">
        <f t="array" ref="Z46">INDEX($O$12:$X$12,$AG46)</f>
        <v>0</v>
      </c>
      <c r="AA46" s="45" cm="1">
        <f t="array" ref="AA46">INDEX($O$13:$X$13,$AG46)</f>
        <v>0</v>
      </c>
      <c r="AB46" s="45" cm="1">
        <f t="array" ref="AB46">INDEX($O$14:$X$14,$AG46)</f>
        <v>0</v>
      </c>
      <c r="AC46" s="45" cm="1">
        <f t="array" ref="AC46">INDEX($O$15:$X$15,$AG46)</f>
        <v>0</v>
      </c>
      <c r="AD46" s="45" cm="1">
        <f t="array" ref="AD46">INDEX($O$16:$X$16,$AG46)</f>
        <v>0</v>
      </c>
      <c r="AE46" s="45" cm="1">
        <f t="array" ref="AE46">INDEX($O$17:$X$17,$AG46)</f>
        <v>0</v>
      </c>
      <c r="AF46" s="42"/>
      <c r="AG46" s="42">
        <v>5</v>
      </c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</row>
    <row r="47" spans="1:45" s="32" customFormat="1" ht="16" x14ac:dyDescent="0.2">
      <c r="A47" s="42"/>
      <c r="B47" s="55">
        <v>3.3</v>
      </c>
      <c r="C47" s="55">
        <v>9</v>
      </c>
      <c r="D47" s="55">
        <v>240</v>
      </c>
      <c r="E47" s="55" t="str">
        <f t="shared" si="14"/>
        <v/>
      </c>
      <c r="F47" s="55">
        <f>IF(D47=LARGE($D$44:$D$52,1),"",D47)</f>
        <v>240</v>
      </c>
      <c r="G47" s="141"/>
      <c r="H47" s="141"/>
      <c r="I47" s="141"/>
      <c r="J47" s="42"/>
      <c r="K47" s="141"/>
      <c r="L47" s="141"/>
      <c r="M47" s="141"/>
      <c r="N47" s="141"/>
      <c r="O47" s="42"/>
      <c r="P47" s="42"/>
      <c r="Q47" s="42"/>
      <c r="R47" s="38"/>
      <c r="S47" s="44" t="str">
        <f>Personalização!I12</f>
        <v>Vestuário</v>
      </c>
      <c r="T47" s="45" cm="1">
        <f t="array" ref="T47">INDEX($O$6:$X$6,$AG47)</f>
        <v>0</v>
      </c>
      <c r="U47" s="45" cm="1">
        <f t="array" ref="U47">INDEX($O$7:$X$7,$AG47)</f>
        <v>0</v>
      </c>
      <c r="V47" s="45" cm="1">
        <f t="array" ref="V47">INDEX($O$8:$X$8,$AG47)</f>
        <v>0</v>
      </c>
      <c r="W47" s="45" cm="1">
        <f t="array" ref="W47">INDEX($O$9:$X$9,$AG47)</f>
        <v>0</v>
      </c>
      <c r="X47" s="45" cm="1">
        <f t="array" ref="X47">INDEX($O$10:$X$10,$AG47)</f>
        <v>0</v>
      </c>
      <c r="Y47" s="45" cm="1">
        <f t="array" ref="Y47">INDEX($O$11:$X$11,$AG47)</f>
        <v>0</v>
      </c>
      <c r="Z47" s="45" cm="1">
        <f t="array" ref="Z47">INDEX($O$12:$X$12,$AG47)</f>
        <v>0</v>
      </c>
      <c r="AA47" s="45" cm="1">
        <f t="array" ref="AA47">INDEX($O$13:$X$13,$AG47)</f>
        <v>0</v>
      </c>
      <c r="AB47" s="45" cm="1">
        <f t="array" ref="AB47">INDEX($O$14:$X$14,$AG47)</f>
        <v>0</v>
      </c>
      <c r="AC47" s="45" cm="1">
        <f t="array" ref="AC47">INDEX($O$15:$X$15,$AG47)</f>
        <v>0</v>
      </c>
      <c r="AD47" s="45" cm="1">
        <f t="array" ref="AD47">INDEX($O$16:$X$16,$AG47)</f>
        <v>0</v>
      </c>
      <c r="AE47" s="45" cm="1">
        <f t="array" ref="AE47">INDEX($O$17:$X$17,$AG47)</f>
        <v>0</v>
      </c>
      <c r="AF47" s="42"/>
      <c r="AG47" s="42">
        <v>6</v>
      </c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</row>
    <row r="48" spans="1:45" s="32" customFormat="1" ht="16" x14ac:dyDescent="0.2">
      <c r="A48" s="42"/>
      <c r="B48" s="55">
        <v>6</v>
      </c>
      <c r="C48" s="55">
        <v>8</v>
      </c>
      <c r="D48" s="55">
        <v>280</v>
      </c>
      <c r="E48" s="55">
        <f t="shared" si="14"/>
        <v>280</v>
      </c>
      <c r="F48" s="42"/>
      <c r="G48" s="141"/>
      <c r="H48" s="141"/>
      <c r="I48" s="141"/>
      <c r="J48" s="42"/>
      <c r="K48" s="141"/>
      <c r="L48" s="141"/>
      <c r="M48" s="141"/>
      <c r="N48" s="141"/>
      <c r="O48" s="42"/>
      <c r="P48" s="42"/>
      <c r="Q48" s="42"/>
      <c r="R48" s="38"/>
      <c r="S48" s="44" t="str">
        <f>Personalização!I13</f>
        <v>Farmácia</v>
      </c>
      <c r="T48" s="45" cm="1">
        <f t="array" ref="T48">INDEX($O$6:$X$6,$AG48)</f>
        <v>0</v>
      </c>
      <c r="U48" s="45" cm="1">
        <f t="array" ref="U48">INDEX($O$7:$X$7,$AG48)</f>
        <v>0</v>
      </c>
      <c r="V48" s="45" cm="1">
        <f t="array" ref="V48">INDEX($O$8:$X$8,$AG48)</f>
        <v>0</v>
      </c>
      <c r="W48" s="45" cm="1">
        <f t="array" ref="W48">INDEX($O$9:$X$9,$AG48)</f>
        <v>0</v>
      </c>
      <c r="X48" s="45" cm="1">
        <f t="array" ref="X48">INDEX($O$10:$X$10,$AG48)</f>
        <v>0</v>
      </c>
      <c r="Y48" s="45" cm="1">
        <f t="array" ref="Y48">INDEX($O$11:$X$11,$AG48)</f>
        <v>0</v>
      </c>
      <c r="Z48" s="45" cm="1">
        <f t="array" ref="Z48">INDEX($O$12:$X$12,$AG48)</f>
        <v>0</v>
      </c>
      <c r="AA48" s="45" cm="1">
        <f t="array" ref="AA48">INDEX($O$13:$X$13,$AG48)</f>
        <v>0</v>
      </c>
      <c r="AB48" s="45" cm="1">
        <f t="array" ref="AB48">INDEX($O$14:$X$14,$AG48)</f>
        <v>0</v>
      </c>
      <c r="AC48" s="45" cm="1">
        <f t="array" ref="AC48">INDEX($O$15:$X$15,$AG48)</f>
        <v>0</v>
      </c>
      <c r="AD48" s="45" cm="1">
        <f t="array" ref="AD48">INDEX($O$16:$X$16,$AG48)</f>
        <v>0</v>
      </c>
      <c r="AE48" s="45" cm="1">
        <f t="array" ref="AE48">INDEX($O$17:$X$17,$AG48)</f>
        <v>0</v>
      </c>
      <c r="AF48" s="42"/>
      <c r="AG48" s="42">
        <v>7</v>
      </c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</row>
    <row r="49" spans="1:45" ht="16" x14ac:dyDescent="0.2">
      <c r="A49" s="42"/>
      <c r="B49" s="55"/>
      <c r="C49" s="55"/>
      <c r="D49" s="42"/>
      <c r="E49" s="42"/>
      <c r="F49" s="42"/>
      <c r="G49" s="141"/>
      <c r="H49" s="141"/>
      <c r="I49" s="141"/>
      <c r="J49" s="42"/>
      <c r="K49" s="141"/>
      <c r="L49" s="141"/>
      <c r="M49" s="141"/>
      <c r="N49" s="141"/>
      <c r="O49" s="42"/>
      <c r="P49" s="42"/>
      <c r="Q49" s="42"/>
      <c r="R49" s="38"/>
      <c r="S49" s="44" t="str">
        <f>Personalização!I14</f>
        <v>Desp Var 8</v>
      </c>
      <c r="T49" s="45" cm="1">
        <f t="array" ref="T49">INDEX($O$6:$X$6,$AG49)</f>
        <v>0</v>
      </c>
      <c r="U49" s="45" cm="1">
        <f t="array" ref="U49">INDEX($O$7:$X$7,$AG49)</f>
        <v>0</v>
      </c>
      <c r="V49" s="45" cm="1">
        <f t="array" ref="V49">INDEX($O$8:$X$8,$AG49)</f>
        <v>0</v>
      </c>
      <c r="W49" s="45" cm="1">
        <f t="array" ref="W49">INDEX($O$9:$X$9,$AG49)</f>
        <v>0</v>
      </c>
      <c r="X49" s="45" cm="1">
        <f t="array" ref="X49">INDEX($O$10:$X$10,$AG49)</f>
        <v>0</v>
      </c>
      <c r="Y49" s="45" cm="1">
        <f t="array" ref="Y49">INDEX($O$11:$X$11,$AG49)</f>
        <v>0</v>
      </c>
      <c r="Z49" s="45" cm="1">
        <f t="array" ref="Z49">INDEX($O$12:$X$12,$AG49)</f>
        <v>0</v>
      </c>
      <c r="AA49" s="45" cm="1">
        <f t="array" ref="AA49">INDEX($O$13:$X$13,$AG49)</f>
        <v>0</v>
      </c>
      <c r="AB49" s="45" cm="1">
        <f t="array" ref="AB49">INDEX($O$14:$X$14,$AG49)</f>
        <v>0</v>
      </c>
      <c r="AC49" s="45" cm="1">
        <f t="array" ref="AC49">INDEX($O$15:$X$15,$AG49)</f>
        <v>0</v>
      </c>
      <c r="AD49" s="45" cm="1">
        <f t="array" ref="AD49">INDEX($O$16:$X$16,$AG49)</f>
        <v>0</v>
      </c>
      <c r="AE49" s="45" cm="1">
        <f t="array" ref="AE49">INDEX($O$17:$X$17,$AG49)</f>
        <v>0</v>
      </c>
      <c r="AF49" s="42"/>
      <c r="AG49" s="42">
        <v>8</v>
      </c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</row>
    <row r="50" spans="1:45" ht="16" x14ac:dyDescent="0.2">
      <c r="A50" s="42"/>
      <c r="B50" s="42"/>
      <c r="C50" s="42"/>
      <c r="D50" s="42"/>
      <c r="E50" s="42"/>
      <c r="F50" s="42"/>
      <c r="G50" s="141"/>
      <c r="H50" s="141"/>
      <c r="I50" s="141"/>
      <c r="J50" s="42"/>
      <c r="K50" s="141"/>
      <c r="L50" s="141"/>
      <c r="M50" s="141"/>
      <c r="N50" s="141"/>
      <c r="O50" s="42"/>
      <c r="P50" s="42"/>
      <c r="Q50" s="42"/>
      <c r="R50" s="38"/>
      <c r="S50" s="44" t="str">
        <f>Personalização!I15</f>
        <v>Desp Var 9</v>
      </c>
      <c r="T50" s="45" cm="1">
        <f t="array" ref="T50">INDEX($O$6:$X$6,$AG50)</f>
        <v>0</v>
      </c>
      <c r="U50" s="45" cm="1">
        <f t="array" ref="U50">INDEX($O$7:$X$7,$AG50)</f>
        <v>0</v>
      </c>
      <c r="V50" s="45" cm="1">
        <f t="array" ref="V50">INDEX($O$8:$X$8,$AG50)</f>
        <v>0</v>
      </c>
      <c r="W50" s="45" cm="1">
        <f t="array" ref="W50">INDEX($O$9:$X$9,$AG50)</f>
        <v>0</v>
      </c>
      <c r="X50" s="45" cm="1">
        <f t="array" ref="X50">INDEX($O$10:$X$10,$AG50)</f>
        <v>0</v>
      </c>
      <c r="Y50" s="45" cm="1">
        <f t="array" ref="Y50">INDEX($O$11:$X$11,$AG50)</f>
        <v>0</v>
      </c>
      <c r="Z50" s="45" cm="1">
        <f t="array" ref="Z50">INDEX($O$12:$X$12,$AG50)</f>
        <v>0</v>
      </c>
      <c r="AA50" s="45" cm="1">
        <f t="array" ref="AA50">INDEX($O$13:$X$13,$AG50)</f>
        <v>0</v>
      </c>
      <c r="AB50" s="45" cm="1">
        <f t="array" ref="AB50">INDEX($O$14:$X$14,$AG50)</f>
        <v>0</v>
      </c>
      <c r="AC50" s="45" cm="1">
        <f t="array" ref="AC50">INDEX($O$15:$X$15,$AG50)</f>
        <v>0</v>
      </c>
      <c r="AD50" s="45" cm="1">
        <f t="array" ref="AD50">INDEX($O$16:$X$16,$AG50)</f>
        <v>0</v>
      </c>
      <c r="AE50" s="45" cm="1">
        <f t="array" ref="AE50">INDEX($O$17:$X$17,$AG50)</f>
        <v>0</v>
      </c>
      <c r="AF50" s="42"/>
      <c r="AG50" s="42">
        <v>9</v>
      </c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</row>
    <row r="51" spans="1:45" ht="16" x14ac:dyDescent="0.2">
      <c r="A51" s="42"/>
      <c r="B51" s="42"/>
      <c r="C51" s="42"/>
      <c r="D51" s="42"/>
      <c r="E51" s="42"/>
      <c r="F51" s="42"/>
      <c r="G51" s="141"/>
      <c r="H51" s="141"/>
      <c r="I51" s="141"/>
      <c r="J51" s="42"/>
      <c r="K51" s="141"/>
      <c r="L51" s="141"/>
      <c r="M51" s="141"/>
      <c r="N51" s="141"/>
      <c r="O51" s="42"/>
      <c r="P51" s="42"/>
      <c r="Q51" s="42"/>
      <c r="S51" s="44" t="str">
        <f>Personalização!I16</f>
        <v>Desp</v>
      </c>
      <c r="T51" s="45" cm="1">
        <f t="array" ref="T51">INDEX($O$6:$X$6,$AG51)</f>
        <v>0</v>
      </c>
      <c r="U51" s="45" cm="1">
        <f t="array" ref="U51">INDEX($O$7:$X$7,$AG51)</f>
        <v>0</v>
      </c>
      <c r="V51" s="45" cm="1">
        <f t="array" ref="V51">INDEX($O$8:$X$8,$AG51)</f>
        <v>0</v>
      </c>
      <c r="W51" s="45" cm="1">
        <f t="array" ref="W51">INDEX($O$9:$X$9,$AG51)</f>
        <v>0</v>
      </c>
      <c r="X51" s="45" cm="1">
        <f t="array" ref="X51">INDEX($O$10:$X$10,$AG51)</f>
        <v>0</v>
      </c>
      <c r="Y51" s="45" cm="1">
        <f t="array" ref="Y51">INDEX($O$11:$X$11,$AG51)</f>
        <v>0</v>
      </c>
      <c r="Z51" s="45" cm="1">
        <f t="array" ref="Z51">INDEX($O$12:$X$12,$AG51)</f>
        <v>0</v>
      </c>
      <c r="AA51" s="45" cm="1">
        <f t="array" ref="AA51">INDEX($O$13:$X$13,$AG51)</f>
        <v>0</v>
      </c>
      <c r="AB51" s="45" cm="1">
        <f t="array" ref="AB51">INDEX($O$14:$X$14,$AG51)</f>
        <v>0</v>
      </c>
      <c r="AC51" s="45" cm="1">
        <f t="array" ref="AC51">INDEX($O$15:$X$15,$AG51)</f>
        <v>0</v>
      </c>
      <c r="AD51" s="45" cm="1">
        <f t="array" ref="AD51">INDEX($O$16:$X$16,$AG51)</f>
        <v>0</v>
      </c>
      <c r="AE51" s="45" cm="1">
        <f t="array" ref="AE51">INDEX($O$17:$X$17,$AG51)</f>
        <v>0</v>
      </c>
      <c r="AF51" s="42"/>
      <c r="AG51" s="42">
        <v>10</v>
      </c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</row>
    <row r="52" spans="1:45" ht="16" x14ac:dyDescent="0.2">
      <c r="A52" s="42"/>
      <c r="B52" s="42"/>
      <c r="C52" s="42"/>
      <c r="D52" s="42"/>
      <c r="E52" s="42"/>
      <c r="F52" s="55"/>
      <c r="G52" s="141"/>
      <c r="H52" s="141"/>
      <c r="I52" s="141"/>
      <c r="J52" s="42"/>
      <c r="K52" s="141"/>
      <c r="L52" s="141"/>
      <c r="M52" s="141"/>
      <c r="N52" s="141"/>
      <c r="O52" s="42"/>
      <c r="P52" s="42"/>
      <c r="Q52" s="42"/>
      <c r="Y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</row>
    <row r="53" spans="1:45" ht="16" x14ac:dyDescent="0.2">
      <c r="A53" s="42"/>
      <c r="B53" s="42"/>
      <c r="C53" s="42"/>
      <c r="D53" s="42"/>
      <c r="E53" s="42"/>
      <c r="F53" s="42"/>
      <c r="G53" s="141"/>
      <c r="H53" s="141"/>
      <c r="I53" s="141"/>
      <c r="J53" s="42"/>
      <c r="K53" s="141"/>
      <c r="L53" s="141"/>
      <c r="M53" s="141"/>
      <c r="N53" s="141"/>
      <c r="O53" s="42"/>
      <c r="P53" s="42"/>
      <c r="Q53" s="42"/>
      <c r="S53" s="39" t="s">
        <v>150</v>
      </c>
      <c r="T53" s="40"/>
      <c r="U53" s="40"/>
      <c r="V53" s="40"/>
      <c r="W53" s="40"/>
      <c r="X53" s="40"/>
      <c r="Y53" s="40"/>
      <c r="Z53" s="40"/>
      <c r="AA53" s="57"/>
      <c r="AB53" s="57"/>
      <c r="AC53" s="15"/>
      <c r="AD53" s="15"/>
      <c r="AE53" s="15"/>
      <c r="AF53" s="42"/>
      <c r="AG53" s="39" t="s">
        <v>165</v>
      </c>
      <c r="AH53" s="40"/>
      <c r="AI53" s="40"/>
      <c r="AJ53" s="40"/>
      <c r="AK53" s="40"/>
      <c r="AL53" s="40"/>
      <c r="AM53" s="40"/>
      <c r="AN53" s="40"/>
      <c r="AO53" s="40"/>
      <c r="AP53" s="40"/>
      <c r="AQ53" s="40"/>
      <c r="AR53" s="40"/>
      <c r="AS53" s="40"/>
    </row>
    <row r="54" spans="1:45" ht="16" x14ac:dyDescent="0.2">
      <c r="A54" s="42"/>
      <c r="B54" s="42"/>
      <c r="C54" s="42"/>
      <c r="D54" s="42"/>
      <c r="E54" s="42"/>
      <c r="F54" s="42"/>
      <c r="G54" s="141"/>
      <c r="H54" s="141"/>
      <c r="I54" s="141"/>
      <c r="J54" s="42"/>
      <c r="K54" s="141"/>
      <c r="L54" s="141"/>
      <c r="M54" s="141"/>
      <c r="N54" s="141"/>
      <c r="O54" s="42"/>
      <c r="P54" s="42"/>
      <c r="Q54" s="42"/>
      <c r="T54" s="43" t="s">
        <v>79</v>
      </c>
      <c r="U54" s="43" t="s">
        <v>80</v>
      </c>
      <c r="V54" s="43" t="s">
        <v>81</v>
      </c>
      <c r="W54" s="43" t="s">
        <v>82</v>
      </c>
      <c r="X54" s="43" t="s">
        <v>145</v>
      </c>
      <c r="Y54" s="43" t="s">
        <v>84</v>
      </c>
      <c r="Z54" s="43" t="s">
        <v>85</v>
      </c>
      <c r="AA54" s="43" t="s">
        <v>86</v>
      </c>
      <c r="AB54" s="43" t="s">
        <v>87</v>
      </c>
      <c r="AC54" s="43" t="s">
        <v>88</v>
      </c>
      <c r="AD54" s="17" t="s">
        <v>89</v>
      </c>
      <c r="AE54" s="17" t="s">
        <v>90</v>
      </c>
      <c r="AF54" s="42"/>
      <c r="AG54" s="39"/>
      <c r="AH54" s="40" t="s">
        <v>79</v>
      </c>
      <c r="AI54" s="40" t="s">
        <v>80</v>
      </c>
      <c r="AJ54" s="40" t="s">
        <v>81</v>
      </c>
      <c r="AK54" s="40" t="s">
        <v>82</v>
      </c>
      <c r="AL54" s="40" t="s">
        <v>83</v>
      </c>
      <c r="AM54" s="40" t="s">
        <v>84</v>
      </c>
      <c r="AN54" s="40" t="s">
        <v>85</v>
      </c>
      <c r="AO54" s="40" t="s">
        <v>86</v>
      </c>
      <c r="AP54" s="40" t="s">
        <v>87</v>
      </c>
      <c r="AQ54" s="40" t="s">
        <v>88</v>
      </c>
      <c r="AR54" s="40" t="s">
        <v>89</v>
      </c>
      <c r="AS54" s="40" t="s">
        <v>90</v>
      </c>
    </row>
    <row r="55" spans="1:45" ht="16" x14ac:dyDescent="0.2">
      <c r="A55" s="42"/>
      <c r="B55" s="42"/>
      <c r="C55" s="42"/>
      <c r="D55" s="42"/>
      <c r="E55" s="42"/>
      <c r="F55" s="42"/>
      <c r="G55" s="141"/>
      <c r="H55" s="141"/>
      <c r="I55" s="141"/>
      <c r="J55" s="42"/>
      <c r="K55" s="141"/>
      <c r="L55" s="141"/>
      <c r="M55" s="141"/>
      <c r="N55" s="141"/>
      <c r="O55" s="42"/>
      <c r="P55" s="42"/>
      <c r="Q55" s="42"/>
      <c r="S55" s="44" t="str">
        <f>IF(Personalização!B7=0,"",Personalização!B7)</f>
        <v>Aluguel + Condomínio</v>
      </c>
      <c r="T55" s="45" t="str">
        <f>IF(Jan!G6=0,"",Jan!G6)</f>
        <v/>
      </c>
      <c r="U55" s="45" t="str">
        <f>IF(Fev!G6=0,"",Fev!G6)</f>
        <v/>
      </c>
      <c r="V55" s="45" t="str">
        <f>IF(Mar!G6=0,"",Mar!G6)</f>
        <v/>
      </c>
      <c r="W55" s="45" t="str">
        <f>IF(Abr!G6=0,"",Abr!G6)</f>
        <v/>
      </c>
      <c r="X55" s="45" t="str">
        <f>IF(Mai!G6=0,"",Mai!G6)</f>
        <v/>
      </c>
      <c r="Y55" s="45" t="str">
        <f>IF(Jun!G6=0,"",Jun!G6)</f>
        <v/>
      </c>
      <c r="Z55" s="45" t="str">
        <f>IF(Jul!G6=0,"",Jul!G6)</f>
        <v/>
      </c>
      <c r="AA55" s="45" t="str">
        <f>IF(Ago!G6=0,"",Ago!G6)</f>
        <v/>
      </c>
      <c r="AB55" s="45" t="str">
        <f>IF(Set!G6=0,"",Set!G6)</f>
        <v/>
      </c>
      <c r="AC55" s="45" t="str">
        <f>IF(Out!G6=0,"",Out!G6)</f>
        <v/>
      </c>
      <c r="AD55" s="45" t="str">
        <f>IF(Nov!G6=0,"",Nov!G6)</f>
        <v/>
      </c>
      <c r="AE55" s="45" t="str">
        <f>IF(Dez!G6=0,"",Dez!G6)</f>
        <v/>
      </c>
      <c r="AF55" s="42"/>
      <c r="AG55" s="44" t="str">
        <f>Personalização!S7</f>
        <v>Pix</v>
      </c>
      <c r="AH55" s="45" t="str">
        <f>Jan!$Q10</f>
        <v/>
      </c>
      <c r="AI55" s="45" t="str">
        <f>Fev!$Q10</f>
        <v/>
      </c>
      <c r="AJ55" s="45" t="str">
        <f>Mar!$Q10</f>
        <v/>
      </c>
      <c r="AK55" s="45" t="str">
        <f>Abr!$Q10</f>
        <v/>
      </c>
      <c r="AL55" s="45" t="str">
        <f>Mai!$Q10</f>
        <v/>
      </c>
      <c r="AM55" s="45" t="str">
        <f>Jun!$Q10</f>
        <v/>
      </c>
      <c r="AN55" s="45" t="str">
        <f>Jul!$Q10</f>
        <v/>
      </c>
      <c r="AO55" s="45" t="str">
        <f>Ago!$Q10</f>
        <v/>
      </c>
      <c r="AP55" s="45" t="str">
        <f>Set!$Q10</f>
        <v/>
      </c>
      <c r="AQ55" s="45" t="str">
        <f>Out!$Q10</f>
        <v/>
      </c>
      <c r="AR55" s="45" t="str">
        <f>Nov!$Q10</f>
        <v/>
      </c>
      <c r="AS55" s="45" t="str">
        <f>Dez!$Q10</f>
        <v/>
      </c>
    </row>
    <row r="56" spans="1:45" ht="16" x14ac:dyDescent="0.2">
      <c r="A56" s="42"/>
      <c r="B56" s="42"/>
      <c r="C56" s="42"/>
      <c r="D56" s="42"/>
      <c r="E56" s="42"/>
      <c r="F56" s="42"/>
      <c r="G56" s="141"/>
      <c r="H56" s="141"/>
      <c r="I56" s="141"/>
      <c r="J56" s="42"/>
      <c r="K56" s="141"/>
      <c r="L56" s="141"/>
      <c r="M56" s="141"/>
      <c r="N56" s="141"/>
      <c r="O56" s="42"/>
      <c r="P56" s="42"/>
      <c r="Q56" s="42"/>
      <c r="S56" s="44" t="str">
        <f>IF(Personalização!B8=0,"",Personalização!B8)</f>
        <v>Água</v>
      </c>
      <c r="T56" s="45" t="str">
        <f>IF(Jan!G7=0,"",Jan!G7)</f>
        <v/>
      </c>
      <c r="U56" s="45" t="str">
        <f>IF(Fev!G7=0,"",Fev!G7)</f>
        <v/>
      </c>
      <c r="V56" s="45" t="str">
        <f>IF(Mar!G7=0,"",Mar!G7)</f>
        <v/>
      </c>
      <c r="W56" s="45" t="str">
        <f>IF(Abr!G7=0,"",Abr!G7)</f>
        <v/>
      </c>
      <c r="X56" s="45" t="str">
        <f>IF(Mai!G7=0,"",Mai!G7)</f>
        <v/>
      </c>
      <c r="Y56" s="45" t="str">
        <f>IF(Jun!G7=0,"",Jun!G7)</f>
        <v/>
      </c>
      <c r="Z56" s="45" t="str">
        <f>IF(Jul!G7=0,"",Jul!G7)</f>
        <v/>
      </c>
      <c r="AA56" s="45" t="str">
        <f>IF(Ago!G7=0,"",Ago!G7)</f>
        <v/>
      </c>
      <c r="AB56" s="45" t="str">
        <f>IF(Set!G7=0,"",Set!G7)</f>
        <v/>
      </c>
      <c r="AC56" s="45" t="str">
        <f>IF(Out!G7=0,"",Out!G7)</f>
        <v/>
      </c>
      <c r="AD56" s="45" t="str">
        <f>IF(Nov!G7=0,"",Nov!G7)</f>
        <v/>
      </c>
      <c r="AE56" s="45" t="str">
        <f>IF(Dez!G7=0,"",Dez!G7)</f>
        <v/>
      </c>
      <c r="AF56" s="42"/>
      <c r="AG56" s="44" t="str">
        <f>Personalização!S8</f>
        <v>Dinheiro</v>
      </c>
      <c r="AH56" s="45" t="str">
        <f>Jan!$Q11</f>
        <v/>
      </c>
      <c r="AI56" s="45" t="str">
        <f>Fev!$Q11</f>
        <v/>
      </c>
      <c r="AJ56" s="45" t="str">
        <f>Mar!$Q11</f>
        <v/>
      </c>
      <c r="AK56" s="45" t="str">
        <f>Abr!$Q11</f>
        <v/>
      </c>
      <c r="AL56" s="45" t="str">
        <f>Mai!$Q11</f>
        <v/>
      </c>
      <c r="AM56" s="45" t="str">
        <f>Jun!$Q11</f>
        <v/>
      </c>
      <c r="AN56" s="45" t="str">
        <f>Jul!$Q11</f>
        <v/>
      </c>
      <c r="AO56" s="45" t="str">
        <f>Ago!$Q11</f>
        <v/>
      </c>
      <c r="AP56" s="45" t="str">
        <f>Set!$Q11</f>
        <v/>
      </c>
      <c r="AQ56" s="45" t="str">
        <f>Out!$Q11</f>
        <v/>
      </c>
      <c r="AR56" s="45" t="str">
        <f>Nov!$Q11</f>
        <v/>
      </c>
      <c r="AS56" s="45" t="str">
        <f>Dez!$Q11</f>
        <v/>
      </c>
    </row>
    <row r="57" spans="1:45" ht="16" x14ac:dyDescent="0.2">
      <c r="A57" s="42"/>
      <c r="B57" s="42"/>
      <c r="C57" s="42"/>
      <c r="D57" s="42"/>
      <c r="E57" s="42"/>
      <c r="F57" s="42"/>
      <c r="G57" s="141"/>
      <c r="H57" s="141"/>
      <c r="I57" s="141"/>
      <c r="J57" s="42"/>
      <c r="K57" s="141"/>
      <c r="L57" s="141"/>
      <c r="M57" s="141"/>
      <c r="N57" s="141"/>
      <c r="O57" s="42"/>
      <c r="P57" s="42"/>
      <c r="Q57" s="42"/>
      <c r="S57" s="44" t="str">
        <f>IF(Personalização!B9=0,"",Personalização!B9)</f>
        <v>Luz</v>
      </c>
      <c r="T57" s="45" t="str">
        <f>IF(Jan!G8=0,"",Jan!G8)</f>
        <v/>
      </c>
      <c r="U57" s="45" t="str">
        <f>IF(Fev!G8=0,"",Fev!G8)</f>
        <v/>
      </c>
      <c r="V57" s="45" t="str">
        <f>IF(Mar!G8=0,"",Mar!G8)</f>
        <v/>
      </c>
      <c r="W57" s="45" t="str">
        <f>IF(Abr!G8=0,"",Abr!G8)</f>
        <v/>
      </c>
      <c r="X57" s="45" t="str">
        <f>IF(Mai!G8=0,"",Mai!G8)</f>
        <v/>
      </c>
      <c r="Y57" s="45" t="str">
        <f>IF(Jun!G8=0,"",Jun!G8)</f>
        <v/>
      </c>
      <c r="Z57" s="45" t="str">
        <f>IF(Jul!G8=0,"",Jul!G8)</f>
        <v/>
      </c>
      <c r="AA57" s="45" t="str">
        <f>IF(Ago!G8=0,"",Ago!G8)</f>
        <v/>
      </c>
      <c r="AB57" s="45" t="str">
        <f>IF(Set!G8=0,"",Set!G8)</f>
        <v/>
      </c>
      <c r="AC57" s="45" t="str">
        <f>IF(Out!G8=0,"",Out!G8)</f>
        <v/>
      </c>
      <c r="AD57" s="45" t="str">
        <f>IF(Nov!G8=0,"",Nov!G8)</f>
        <v/>
      </c>
      <c r="AE57" s="45" t="str">
        <f>IF(Dez!G8=0,"",Dez!G8)</f>
        <v/>
      </c>
      <c r="AF57" s="42"/>
      <c r="AG57" s="44" t="str">
        <f>Personalização!S9</f>
        <v>Cartão Visa</v>
      </c>
      <c r="AH57" s="45" t="str">
        <f>Jan!$Q12</f>
        <v/>
      </c>
      <c r="AI57" s="45" t="str">
        <f>Fev!$Q12</f>
        <v/>
      </c>
      <c r="AJ57" s="45" t="str">
        <f>Mar!$Q12</f>
        <v/>
      </c>
      <c r="AK57" s="45" t="str">
        <f>Abr!$Q12</f>
        <v/>
      </c>
      <c r="AL57" s="45" t="str">
        <f>Mai!$Q12</f>
        <v/>
      </c>
      <c r="AM57" s="45" t="str">
        <f>Jun!$Q12</f>
        <v/>
      </c>
      <c r="AN57" s="45" t="str">
        <f>Jul!$Q12</f>
        <v/>
      </c>
      <c r="AO57" s="45" t="str">
        <f>Ago!$Q12</f>
        <v/>
      </c>
      <c r="AP57" s="45" t="str">
        <f>Set!$Q12</f>
        <v/>
      </c>
      <c r="AQ57" s="45" t="str">
        <f>Out!$Q12</f>
        <v/>
      </c>
      <c r="AR57" s="45" t="str">
        <f>Nov!$Q12</f>
        <v/>
      </c>
      <c r="AS57" s="45" t="str">
        <f>Dez!$Q12</f>
        <v/>
      </c>
    </row>
    <row r="58" spans="1:45" ht="16" x14ac:dyDescent="0.2">
      <c r="A58" s="42"/>
      <c r="B58" s="42"/>
      <c r="C58" s="42"/>
      <c r="D58" s="42"/>
      <c r="E58" s="42"/>
      <c r="F58" s="42"/>
      <c r="G58" s="141"/>
      <c r="H58" s="141"/>
      <c r="I58" s="141"/>
      <c r="J58" s="42"/>
      <c r="K58" s="141"/>
      <c r="L58" s="141"/>
      <c r="M58" s="141"/>
      <c r="N58" s="141"/>
      <c r="O58" s="42"/>
      <c r="P58" s="42"/>
      <c r="Q58" s="42"/>
      <c r="S58" s="44" t="str">
        <f>IF(Personalização!B10=0,"",Personalização!B10)</f>
        <v>Internet</v>
      </c>
      <c r="T58" s="45" t="str">
        <f>IF(Jan!G9=0,"",Jan!G9)</f>
        <v/>
      </c>
      <c r="U58" s="45" t="str">
        <f>IF(Fev!G9=0,"",Fev!G9)</f>
        <v/>
      </c>
      <c r="V58" s="45" t="str">
        <f>IF(Mar!G9=0,"",Mar!G9)</f>
        <v/>
      </c>
      <c r="W58" s="45" t="str">
        <f>IF(Abr!G9=0,"",Abr!G9)</f>
        <v/>
      </c>
      <c r="X58" s="45" t="str">
        <f>IF(Mai!G9=0,"",Mai!G9)</f>
        <v/>
      </c>
      <c r="Y58" s="45" t="str">
        <f>IF(Jun!G9=0,"",Jun!G9)</f>
        <v/>
      </c>
      <c r="Z58" s="45" t="str">
        <f>IF(Jul!G9=0,"",Jul!G9)</f>
        <v/>
      </c>
      <c r="AA58" s="45" t="str">
        <f>IF(Ago!G9=0,"",Ago!G9)</f>
        <v/>
      </c>
      <c r="AB58" s="45" t="str">
        <f>IF(Set!G9=0,"",Set!G9)</f>
        <v/>
      </c>
      <c r="AC58" s="45" t="str">
        <f>IF(Out!G9=0,"",Out!G9)</f>
        <v/>
      </c>
      <c r="AD58" s="45" t="str">
        <f>IF(Nov!G9=0,"",Nov!G9)</f>
        <v/>
      </c>
      <c r="AE58" s="45" t="str">
        <f>IF(Dez!G9=0,"",Dez!G9)</f>
        <v/>
      </c>
      <c r="AF58" s="42"/>
      <c r="AG58" s="44" t="str">
        <f>Personalização!S10</f>
        <v>Cartão Mastercard</v>
      </c>
      <c r="AH58" s="45" t="str">
        <f>Jan!$Q13</f>
        <v/>
      </c>
      <c r="AI58" s="45" t="str">
        <f>Fev!$Q13</f>
        <v/>
      </c>
      <c r="AJ58" s="45" t="str">
        <f>Mar!$Q13</f>
        <v/>
      </c>
      <c r="AK58" s="45" t="str">
        <f>Abr!$Q13</f>
        <v/>
      </c>
      <c r="AL58" s="45" t="str">
        <f>Mai!$Q13</f>
        <v/>
      </c>
      <c r="AM58" s="45" t="str">
        <f>Jun!$Q13</f>
        <v/>
      </c>
      <c r="AN58" s="45" t="str">
        <f>Jul!$Q13</f>
        <v/>
      </c>
      <c r="AO58" s="45" t="str">
        <f>Ago!$Q13</f>
        <v/>
      </c>
      <c r="AP58" s="45" t="str">
        <f>Set!$Q13</f>
        <v/>
      </c>
      <c r="AQ58" s="45" t="str">
        <f>Out!$Q13</f>
        <v/>
      </c>
      <c r="AR58" s="45" t="str">
        <f>Nov!$Q13</f>
        <v/>
      </c>
      <c r="AS58" s="45" t="str">
        <f>Dez!$Q13</f>
        <v/>
      </c>
    </row>
    <row r="59" spans="1:45" ht="16" x14ac:dyDescent="0.2">
      <c r="A59" s="42"/>
      <c r="B59" s="42"/>
      <c r="C59" s="42"/>
      <c r="D59" s="42"/>
      <c r="E59" s="42"/>
      <c r="F59" s="42"/>
      <c r="G59" s="141"/>
      <c r="H59" s="141"/>
      <c r="I59" s="141"/>
      <c r="J59" s="42"/>
      <c r="K59" s="141"/>
      <c r="L59" s="141"/>
      <c r="M59" s="141"/>
      <c r="N59" s="141"/>
      <c r="O59" s="42"/>
      <c r="P59" s="42"/>
      <c r="Q59" s="42"/>
      <c r="S59" s="44" t="str">
        <f>IF(Personalização!B11=0,"",Personalização!B11)</f>
        <v>Financiamento</v>
      </c>
      <c r="T59" s="45" t="str">
        <f>IF(Jan!G10=0,"",Jan!G10)</f>
        <v/>
      </c>
      <c r="U59" s="45" t="str">
        <f>IF(Fev!G10=0,"",Fev!G10)</f>
        <v/>
      </c>
      <c r="V59" s="45" t="str">
        <f>IF(Mar!G10=0,"",Mar!G10)</f>
        <v/>
      </c>
      <c r="W59" s="45" t="str">
        <f>IF(Abr!G10=0,"",Abr!G10)</f>
        <v/>
      </c>
      <c r="X59" s="45" t="str">
        <f>IF(Mai!G10=0,"",Mai!G10)</f>
        <v/>
      </c>
      <c r="Y59" s="45" t="str">
        <f>IF(Jun!G10=0,"",Jun!G10)</f>
        <v/>
      </c>
      <c r="Z59" s="45" t="str">
        <f>IF(Jul!G10=0,"",Jul!G10)</f>
        <v/>
      </c>
      <c r="AA59" s="45" t="str">
        <f>IF(Ago!G10=0,"",Ago!G10)</f>
        <v/>
      </c>
      <c r="AB59" s="45" t="str">
        <f>IF(Set!G10=0,"",Set!G10)</f>
        <v/>
      </c>
      <c r="AC59" s="45" t="str">
        <f>IF(Out!G10=0,"",Out!G10)</f>
        <v/>
      </c>
      <c r="AD59" s="45" t="str">
        <f>IF(Nov!G10=0,"",Nov!G10)</f>
        <v/>
      </c>
      <c r="AE59" s="45" t="str">
        <f>IF(Dez!G10=0,"",Dez!G10)</f>
        <v/>
      </c>
      <c r="AF59" s="42"/>
      <c r="AG59" s="44" t="str">
        <f>Personalização!S11</f>
        <v>Cartão Esposa</v>
      </c>
      <c r="AH59" s="45" t="str">
        <f>Jan!$Q14</f>
        <v/>
      </c>
      <c r="AI59" s="45" t="str">
        <f>Fev!$Q14</f>
        <v/>
      </c>
      <c r="AJ59" s="45" t="str">
        <f>Mar!$Q14</f>
        <v/>
      </c>
      <c r="AK59" s="45" t="str">
        <f>Abr!$Q14</f>
        <v/>
      </c>
      <c r="AL59" s="45" t="str">
        <f>Mai!$Q14</f>
        <v/>
      </c>
      <c r="AM59" s="45" t="str">
        <f>Jun!$Q14</f>
        <v/>
      </c>
      <c r="AN59" s="45" t="str">
        <f>Jul!$Q14</f>
        <v/>
      </c>
      <c r="AO59" s="45" t="str">
        <f>Ago!$Q14</f>
        <v/>
      </c>
      <c r="AP59" s="45" t="str">
        <f>Set!$Q14</f>
        <v/>
      </c>
      <c r="AQ59" s="45" t="str">
        <f>Out!$Q14</f>
        <v/>
      </c>
      <c r="AR59" s="45" t="str">
        <f>Nov!$Q14</f>
        <v/>
      </c>
      <c r="AS59" s="45" t="str">
        <f>Dez!$Q14</f>
        <v/>
      </c>
    </row>
    <row r="60" spans="1:45" ht="16" x14ac:dyDescent="0.2">
      <c r="A60" s="42"/>
      <c r="B60" s="42"/>
      <c r="C60" s="42"/>
      <c r="D60" s="42"/>
      <c r="E60" s="42"/>
      <c r="F60" s="42"/>
      <c r="G60" s="141"/>
      <c r="H60" s="141"/>
      <c r="I60" s="141"/>
      <c r="J60" s="42"/>
      <c r="K60" s="141"/>
      <c r="L60" s="141"/>
      <c r="M60" s="141"/>
      <c r="N60" s="141"/>
      <c r="O60" s="42"/>
      <c r="P60" s="42"/>
      <c r="Q60" s="42"/>
      <c r="S60" s="44" t="str">
        <f>IF(Personalização!B12=0,"",Personalização!B12)</f>
        <v>Plano de Saúde</v>
      </c>
      <c r="T60" s="45" t="str">
        <f>IF(Jan!G11=0,"",Jan!G11)</f>
        <v/>
      </c>
      <c r="U60" s="45" t="str">
        <f>IF(Fev!G11=0,"",Fev!G11)</f>
        <v/>
      </c>
      <c r="V60" s="45" t="str">
        <f>IF(Mar!G11=0,"",Mar!G11)</f>
        <v/>
      </c>
      <c r="W60" s="45" t="str">
        <f>IF(Abr!G11=0,"",Abr!G11)</f>
        <v/>
      </c>
      <c r="X60" s="45" t="str">
        <f>IF(Mai!G11=0,"",Mai!G11)</f>
        <v/>
      </c>
      <c r="Y60" s="45" t="str">
        <f>IF(Jun!G11=0,"",Jun!G11)</f>
        <v/>
      </c>
      <c r="Z60" s="45" t="str">
        <f>IF(Jul!G11=0,"",Jul!G11)</f>
        <v/>
      </c>
      <c r="AA60" s="45" t="str">
        <f>IF(Ago!G11=0,"",Ago!G11)</f>
        <v/>
      </c>
      <c r="AB60" s="45" t="str">
        <f>IF(Set!G11=0,"",Set!G11)</f>
        <v/>
      </c>
      <c r="AC60" s="45" t="str">
        <f>IF(Out!G11=0,"",Out!G11)</f>
        <v/>
      </c>
      <c r="AD60" s="45" t="str">
        <f>IF(Nov!G11=0,"",Nov!G11)</f>
        <v/>
      </c>
      <c r="AE60" s="45" t="str">
        <f>IF(Dez!G11=0,"",Dez!G11)</f>
        <v/>
      </c>
      <c r="AF60" s="42"/>
      <c r="AG60" s="44" t="str">
        <f>Personalização!S12</f>
        <v>Cartão Filho</v>
      </c>
      <c r="AH60" s="45" t="str">
        <f>Jan!$Q15</f>
        <v/>
      </c>
      <c r="AI60" s="45" t="str">
        <f>Fev!$Q15</f>
        <v/>
      </c>
      <c r="AJ60" s="45" t="str">
        <f>Mar!$Q15</f>
        <v/>
      </c>
      <c r="AK60" s="45" t="str">
        <f>Abr!$Q15</f>
        <v/>
      </c>
      <c r="AL60" s="45" t="str">
        <f>Mai!$Q15</f>
        <v/>
      </c>
      <c r="AM60" s="45" t="str">
        <f>Jun!$Q15</f>
        <v/>
      </c>
      <c r="AN60" s="45" t="str">
        <f>Jul!$Q15</f>
        <v/>
      </c>
      <c r="AO60" s="45" t="str">
        <f>Ago!$Q15</f>
        <v/>
      </c>
      <c r="AP60" s="45" t="str">
        <f>Set!$Q15</f>
        <v/>
      </c>
      <c r="AQ60" s="45" t="str">
        <f>Out!$Q15</f>
        <v/>
      </c>
      <c r="AR60" s="45" t="str">
        <f>Nov!$Q15</f>
        <v/>
      </c>
      <c r="AS60" s="45" t="str">
        <f>Dez!$Q15</f>
        <v/>
      </c>
    </row>
    <row r="61" spans="1:45" ht="16" x14ac:dyDescent="0.2">
      <c r="A61" s="42"/>
      <c r="B61" s="42"/>
      <c r="C61" s="42"/>
      <c r="D61" s="42"/>
      <c r="E61" s="42"/>
      <c r="F61" s="42"/>
      <c r="G61" s="141"/>
      <c r="H61" s="141"/>
      <c r="I61" s="141"/>
      <c r="J61" s="42"/>
      <c r="K61" s="141"/>
      <c r="L61" s="141"/>
      <c r="M61" s="141"/>
      <c r="N61" s="141"/>
      <c r="O61" s="42"/>
      <c r="P61" s="42"/>
      <c r="Q61" s="42"/>
      <c r="S61" s="44" t="str">
        <f>IF(Personalização!B13=0,"",Personalização!B13)</f>
        <v>Seguro Carro</v>
      </c>
      <c r="T61" s="45" t="str">
        <f>IF(Jan!G12=0,"",Jan!G12)</f>
        <v/>
      </c>
      <c r="U61" s="45" t="str">
        <f>IF(Fev!G12=0,"",Fev!G12)</f>
        <v/>
      </c>
      <c r="V61" s="45" t="str">
        <f>IF(Mar!G12=0,"",Mar!G12)</f>
        <v/>
      </c>
      <c r="W61" s="45" t="str">
        <f>IF(Abr!G12=0,"",Abr!G12)</f>
        <v/>
      </c>
      <c r="X61" s="45" t="str">
        <f>IF(Mai!G12=0,"",Mai!G12)</f>
        <v/>
      </c>
      <c r="Y61" s="45" t="str">
        <f>IF(Jun!G12=0,"",Jun!G12)</f>
        <v/>
      </c>
      <c r="Z61" s="45" t="str">
        <f>IF(Jul!G12=0,"",Jul!G12)</f>
        <v/>
      </c>
      <c r="AA61" s="45" t="str">
        <f>IF(Ago!G12=0,"",Ago!G12)</f>
        <v/>
      </c>
      <c r="AB61" s="45" t="str">
        <f>IF(Set!G12=0,"",Set!G12)</f>
        <v/>
      </c>
      <c r="AC61" s="45" t="str">
        <f>IF(Out!G12=0,"",Out!G12)</f>
        <v/>
      </c>
      <c r="AD61" s="45" t="str">
        <f>IF(Nov!G12=0,"",Nov!G12)</f>
        <v/>
      </c>
      <c r="AE61" s="45" t="str">
        <f>IF(Dez!G12=0,"",Dez!G12)</f>
        <v/>
      </c>
      <c r="AF61" s="42"/>
      <c r="AG61" s="44" t="str">
        <f>Personalização!S13</f>
        <v>Cartão Filha</v>
      </c>
      <c r="AH61" s="45" t="str">
        <f>Jan!$Q16</f>
        <v/>
      </c>
      <c r="AI61" s="45" t="str">
        <f>Fev!$Q16</f>
        <v/>
      </c>
      <c r="AJ61" s="45" t="str">
        <f>Mar!$Q16</f>
        <v/>
      </c>
      <c r="AK61" s="45" t="str">
        <f>Abr!$Q16</f>
        <v/>
      </c>
      <c r="AL61" s="45" t="str">
        <f>Mai!$Q16</f>
        <v/>
      </c>
      <c r="AM61" s="45" t="str">
        <f>Jun!$Q16</f>
        <v/>
      </c>
      <c r="AN61" s="45" t="str">
        <f>Jul!$Q16</f>
        <v/>
      </c>
      <c r="AO61" s="45" t="str">
        <f>Ago!$Q16</f>
        <v/>
      </c>
      <c r="AP61" s="45" t="str">
        <f>Set!$Q16</f>
        <v/>
      </c>
      <c r="AQ61" s="45" t="str">
        <f>Out!$Q16</f>
        <v/>
      </c>
      <c r="AR61" s="45" t="str">
        <f>Nov!$Q16</f>
        <v/>
      </c>
      <c r="AS61" s="45" t="str">
        <f>Dez!$Q16</f>
        <v/>
      </c>
    </row>
    <row r="62" spans="1:45" ht="16" x14ac:dyDescent="0.2">
      <c r="A62" s="42"/>
      <c r="B62" s="42"/>
      <c r="C62" s="42"/>
      <c r="D62" s="42"/>
      <c r="E62" s="42"/>
      <c r="F62" s="42"/>
      <c r="G62" s="141"/>
      <c r="H62" s="141"/>
      <c r="I62" s="141"/>
      <c r="J62" s="42"/>
      <c r="K62" s="141"/>
      <c r="L62" s="141"/>
      <c r="M62" s="141"/>
      <c r="N62" s="141"/>
      <c r="O62" s="42"/>
      <c r="P62" s="42"/>
      <c r="Q62" s="42"/>
      <c r="S62" s="44" t="str">
        <f>IF(Personalização!B14=0,"",Personalização!B14)</f>
        <v>Parcela Imóvel</v>
      </c>
      <c r="T62" s="45" t="str">
        <f>IF(Jan!G13=0,"",Jan!G13)</f>
        <v/>
      </c>
      <c r="U62" s="45" t="str">
        <f>IF(Fev!G13=0,"",Fev!G13)</f>
        <v/>
      </c>
      <c r="V62" s="45" t="str">
        <f>IF(Mar!G13=0,"",Mar!G13)</f>
        <v/>
      </c>
      <c r="W62" s="45" t="str">
        <f>IF(Abr!G13=0,"",Abr!G13)</f>
        <v/>
      </c>
      <c r="X62" s="45" t="str">
        <f>IF(Mai!G13=0,"",Mai!G13)</f>
        <v/>
      </c>
      <c r="Y62" s="45" t="str">
        <f>IF(Jun!G13=0,"",Jun!G13)</f>
        <v/>
      </c>
      <c r="Z62" s="45" t="str">
        <f>IF(Jul!G13=0,"",Jul!G13)</f>
        <v/>
      </c>
      <c r="AA62" s="45" t="str">
        <f>IF(Ago!G13=0,"",Ago!G13)</f>
        <v/>
      </c>
      <c r="AB62" s="45" t="str">
        <f>IF(Set!G13=0,"",Set!G13)</f>
        <v/>
      </c>
      <c r="AC62" s="45" t="str">
        <f>IF(Out!G13=0,"",Out!G13)</f>
        <v/>
      </c>
      <c r="AD62" s="45" t="str">
        <f>IF(Nov!G13=0,"",Nov!G13)</f>
        <v/>
      </c>
      <c r="AE62" s="45" t="str">
        <f>IF(Dez!G13=0,"",Dez!G13)</f>
        <v/>
      </c>
      <c r="AF62" s="42"/>
      <c r="AG62" s="44" t="str">
        <f>Personalização!S14</f>
        <v>Cartão Sogra</v>
      </c>
      <c r="AH62" s="45" t="str">
        <f>Jan!$Q17</f>
        <v/>
      </c>
      <c r="AI62" s="45" t="str">
        <f>Fev!$Q17</f>
        <v/>
      </c>
      <c r="AJ62" s="45" t="str">
        <f>Mar!$Q17</f>
        <v/>
      </c>
      <c r="AK62" s="45" t="str">
        <f>Abr!$Q17</f>
        <v/>
      </c>
      <c r="AL62" s="45" t="str">
        <f>Mai!$Q17</f>
        <v/>
      </c>
      <c r="AM62" s="45" t="str">
        <f>Jun!$Q17</f>
        <v/>
      </c>
      <c r="AN62" s="45" t="str">
        <f>Jul!$Q17</f>
        <v/>
      </c>
      <c r="AO62" s="45" t="str">
        <f>Ago!$Q17</f>
        <v/>
      </c>
      <c r="AP62" s="45" t="str">
        <f>Set!$Q17</f>
        <v/>
      </c>
      <c r="AQ62" s="45" t="str">
        <f>Out!$Q17</f>
        <v/>
      </c>
      <c r="AR62" s="45" t="str">
        <f>Nov!$Q17</f>
        <v/>
      </c>
      <c r="AS62" s="45" t="str">
        <f>Dez!$Q17</f>
        <v/>
      </c>
    </row>
    <row r="63" spans="1:45" ht="16" x14ac:dyDescent="0.2">
      <c r="A63" s="42"/>
      <c r="B63" s="42"/>
      <c r="C63" s="42"/>
      <c r="D63" s="42"/>
      <c r="E63" s="42"/>
      <c r="F63" s="42"/>
      <c r="G63" s="141"/>
      <c r="H63" s="141"/>
      <c r="I63" s="141"/>
      <c r="J63" s="42"/>
      <c r="K63" s="141"/>
      <c r="L63" s="141"/>
      <c r="M63" s="141"/>
      <c r="N63" s="141"/>
      <c r="O63" s="42"/>
      <c r="P63" s="42"/>
      <c r="Q63" s="42"/>
      <c r="S63" s="44" t="str">
        <f>IF(Personalização!B15=0,"",Personalização!B15)</f>
        <v>Faculdade</v>
      </c>
      <c r="T63" s="45" t="str">
        <f>IF(Jan!G14=0,"",Jan!G14)</f>
        <v/>
      </c>
      <c r="U63" s="45" t="str">
        <f>IF(Fev!G14=0,"",Fev!G14)</f>
        <v/>
      </c>
      <c r="V63" s="45" t="str">
        <f>IF(Mar!G14=0,"",Mar!G14)</f>
        <v/>
      </c>
      <c r="W63" s="45" t="str">
        <f>IF(Abr!G14=0,"",Abr!G14)</f>
        <v/>
      </c>
      <c r="X63" s="45" t="str">
        <f>IF(Mai!G14=0,"",Mai!G14)</f>
        <v/>
      </c>
      <c r="Y63" s="45" t="str">
        <f>IF(Jun!G14=0,"",Jun!G14)</f>
        <v/>
      </c>
      <c r="Z63" s="45" t="str">
        <f>IF(Jul!G14=0,"",Jul!G14)</f>
        <v/>
      </c>
      <c r="AA63" s="45" t="str">
        <f>IF(Ago!G14=0,"",Ago!G14)</f>
        <v/>
      </c>
      <c r="AB63" s="45" t="str">
        <f>IF(Set!G14=0,"",Set!G14)</f>
        <v/>
      </c>
      <c r="AC63" s="45" t="str">
        <f>IF(Out!G14=0,"",Out!G14)</f>
        <v/>
      </c>
      <c r="AD63" s="45" t="str">
        <f>IF(Nov!G14=0,"",Nov!G14)</f>
        <v/>
      </c>
      <c r="AE63" s="45" t="str">
        <f>IF(Dez!G14=0,"",Dez!G14)</f>
        <v/>
      </c>
      <c r="AF63" s="42"/>
      <c r="AG63" s="44">
        <f>Personalização!S15</f>
        <v>0</v>
      </c>
      <c r="AH63" s="45" t="str">
        <f>Jan!$Q18</f>
        <v/>
      </c>
      <c r="AI63" s="45" t="str">
        <f>Fev!$Q18</f>
        <v/>
      </c>
      <c r="AJ63" s="45" t="str">
        <f>Mar!$Q18</f>
        <v/>
      </c>
      <c r="AK63" s="45" t="str">
        <f>Abr!$Q18</f>
        <v/>
      </c>
      <c r="AL63" s="45" t="str">
        <f>Mai!$Q18</f>
        <v/>
      </c>
      <c r="AM63" s="45" t="str">
        <f>Jun!$Q18</f>
        <v/>
      </c>
      <c r="AN63" s="45" t="str">
        <f>Jul!$Q18</f>
        <v/>
      </c>
      <c r="AO63" s="45" t="str">
        <f>Ago!$Q18</f>
        <v/>
      </c>
      <c r="AP63" s="45" t="str">
        <f>Set!$Q18</f>
        <v/>
      </c>
      <c r="AQ63" s="45" t="str">
        <f>Out!$Q18</f>
        <v/>
      </c>
      <c r="AR63" s="45" t="str">
        <f>Nov!$Q18</f>
        <v/>
      </c>
      <c r="AS63" s="45" t="str">
        <f>Dez!$Q18</f>
        <v/>
      </c>
    </row>
    <row r="64" spans="1:45" ht="16" x14ac:dyDescent="0.2">
      <c r="A64" s="42"/>
      <c r="B64" s="42"/>
      <c r="C64" s="42"/>
      <c r="D64" s="42"/>
      <c r="E64" s="42"/>
      <c r="F64" s="42"/>
      <c r="G64" s="141"/>
      <c r="H64" s="141"/>
      <c r="I64" s="141"/>
      <c r="J64" s="42"/>
      <c r="K64" s="141"/>
      <c r="L64" s="141"/>
      <c r="M64" s="141"/>
      <c r="N64" s="141"/>
      <c r="O64" s="42"/>
      <c r="P64" s="42"/>
      <c r="Q64" s="42"/>
      <c r="S64" s="44" t="str">
        <f>IF(Personalização!B16=0,"",Personalização!B16)</f>
        <v>Despesa 10</v>
      </c>
      <c r="T64" s="45" t="str">
        <f>IF(Jan!G15=0,"",Jan!G15)</f>
        <v/>
      </c>
      <c r="U64" s="45" t="str">
        <f>IF(Fev!G15=0,"",Fev!G15)</f>
        <v/>
      </c>
      <c r="V64" s="45" t="str">
        <f>IF(Mar!G15=0,"",Mar!G15)</f>
        <v/>
      </c>
      <c r="W64" s="45" t="str">
        <f>IF(Abr!G15=0,"",Abr!G15)</f>
        <v/>
      </c>
      <c r="X64" s="45" t="str">
        <f>IF(Mai!G15=0,"",Mai!G15)</f>
        <v/>
      </c>
      <c r="Y64" s="45" t="str">
        <f>IF(Jun!G15=0,"",Jun!G15)</f>
        <v/>
      </c>
      <c r="Z64" s="45" t="str">
        <f>IF(Jul!G15=0,"",Jul!G15)</f>
        <v/>
      </c>
      <c r="AA64" s="45" t="str">
        <f>IF(Ago!G15=0,"",Ago!G15)</f>
        <v/>
      </c>
      <c r="AB64" s="45" t="str">
        <f>IF(Set!G15=0,"",Set!G15)</f>
        <v/>
      </c>
      <c r="AC64" s="45" t="str">
        <f>IF(Out!G15=0,"",Out!G15)</f>
        <v/>
      </c>
      <c r="AD64" s="45" t="str">
        <f>IF(Nov!G15=0,"",Nov!G15)</f>
        <v/>
      </c>
      <c r="AE64" s="45" t="str">
        <f>IF(Dez!G15=0,"",Dez!G15)</f>
        <v/>
      </c>
      <c r="AF64" s="42"/>
      <c r="AG64" s="44">
        <f>Personalização!S16</f>
        <v>0</v>
      </c>
      <c r="AH64" s="45" t="str">
        <f>Jan!$Q19</f>
        <v/>
      </c>
      <c r="AI64" s="45" t="str">
        <f>Fev!$Q19</f>
        <v/>
      </c>
      <c r="AJ64" s="45" t="str">
        <f>Mar!$Q19</f>
        <v/>
      </c>
      <c r="AK64" s="45" t="str">
        <f>Abr!$Q19</f>
        <v/>
      </c>
      <c r="AL64" s="45" t="str">
        <f>Mai!$Q19</f>
        <v/>
      </c>
      <c r="AM64" s="45" t="str">
        <f>Jun!$Q19</f>
        <v/>
      </c>
      <c r="AN64" s="45" t="str">
        <f>Jul!$Q19</f>
        <v/>
      </c>
      <c r="AO64" s="45" t="str">
        <f>Ago!$Q19</f>
        <v/>
      </c>
      <c r="AP64" s="45" t="str">
        <f>Set!$Q19</f>
        <v/>
      </c>
      <c r="AQ64" s="45" t="str">
        <f>Out!$Q19</f>
        <v/>
      </c>
      <c r="AR64" s="45" t="str">
        <f>Nov!$Q19</f>
        <v/>
      </c>
      <c r="AS64" s="45" t="str">
        <f>Dez!$Q19</f>
        <v/>
      </c>
    </row>
    <row r="65" spans="1:45" ht="16" x14ac:dyDescent="0.2">
      <c r="A65" s="42"/>
      <c r="B65" s="42"/>
      <c r="C65" s="42"/>
      <c r="D65" s="42"/>
      <c r="E65" s="42"/>
      <c r="F65" s="42"/>
      <c r="G65" s="141"/>
      <c r="H65" s="141"/>
      <c r="I65" s="141"/>
      <c r="J65" s="42"/>
      <c r="K65" s="141"/>
      <c r="L65" s="141"/>
      <c r="M65" s="141"/>
      <c r="N65" s="141"/>
      <c r="O65" s="42"/>
      <c r="P65" s="42"/>
      <c r="Q65" s="42"/>
      <c r="R65" s="42"/>
      <c r="S65" s="44" t="str">
        <f>IF(Personalização!B17=0,"",Personalização!B17)</f>
        <v>Despesa 11</v>
      </c>
      <c r="T65" s="45" t="str">
        <f>IF(Jan!G16=0,"",Jan!G16)</f>
        <v/>
      </c>
      <c r="U65" s="45" t="str">
        <f>IF(Fev!G16=0,"",Fev!G16)</f>
        <v/>
      </c>
      <c r="V65" s="45" t="str">
        <f>IF(Mar!G16=0,"",Mar!G16)</f>
        <v/>
      </c>
      <c r="W65" s="45" t="str">
        <f>IF(Abr!G16=0,"",Abr!G16)</f>
        <v/>
      </c>
      <c r="X65" s="45" t="str">
        <f>IF(Mai!G16=0,"",Mai!G16)</f>
        <v/>
      </c>
      <c r="Y65" s="45" t="str">
        <f>IF(Jun!G16=0,"",Jun!G16)</f>
        <v/>
      </c>
      <c r="Z65" s="45" t="str">
        <f>IF(Jul!G16=0,"",Jul!G16)</f>
        <v/>
      </c>
      <c r="AA65" s="45" t="str">
        <f>IF(Ago!G16=0,"",Ago!G16)</f>
        <v/>
      </c>
      <c r="AB65" s="45" t="str">
        <f>IF(Set!G16=0,"",Set!G16)</f>
        <v/>
      </c>
      <c r="AC65" s="45" t="str">
        <f>IF(Out!G16=0,"",Out!G16)</f>
        <v/>
      </c>
      <c r="AD65" s="45" t="str">
        <f>IF(Nov!G16=0,"",Nov!G16)</f>
        <v/>
      </c>
      <c r="AE65" s="45" t="str">
        <f>IF(Dez!G16=0,"",Dez!G16)</f>
        <v/>
      </c>
      <c r="AF65" s="42"/>
      <c r="AG65" s="44">
        <f>Personalização!S17</f>
        <v>0</v>
      </c>
      <c r="AH65" s="45" t="str">
        <f>Jan!$Q20</f>
        <v/>
      </c>
      <c r="AI65" s="45" t="str">
        <f>Fev!$Q20</f>
        <v/>
      </c>
      <c r="AJ65" s="45" t="str">
        <f>Mar!$Q20</f>
        <v/>
      </c>
      <c r="AK65" s="45" t="str">
        <f>Abr!$Q20</f>
        <v/>
      </c>
      <c r="AL65" s="45" t="str">
        <f>Mai!$Q20</f>
        <v/>
      </c>
      <c r="AM65" s="45" t="str">
        <f>Jun!$Q20</f>
        <v/>
      </c>
      <c r="AN65" s="45" t="str">
        <f>Jul!$Q20</f>
        <v/>
      </c>
      <c r="AO65" s="45" t="str">
        <f>Ago!$Q20</f>
        <v/>
      </c>
      <c r="AP65" s="45" t="str">
        <f>Set!$Q20</f>
        <v/>
      </c>
      <c r="AQ65" s="45" t="str">
        <f>Out!$Q20</f>
        <v/>
      </c>
      <c r="AR65" s="45" t="str">
        <f>Nov!$Q20</f>
        <v/>
      </c>
      <c r="AS65" s="45" t="str">
        <f>Dez!$Q20</f>
        <v/>
      </c>
    </row>
    <row r="66" spans="1:45" ht="16" x14ac:dyDescent="0.2">
      <c r="A66" s="42"/>
      <c r="B66" s="42"/>
      <c r="C66" s="42"/>
      <c r="D66" s="42"/>
      <c r="E66" s="42"/>
      <c r="F66" s="42"/>
      <c r="G66" s="141"/>
      <c r="H66" s="141"/>
      <c r="I66" s="141"/>
      <c r="J66" s="42"/>
      <c r="K66" s="141"/>
      <c r="L66" s="141"/>
      <c r="M66" s="141"/>
      <c r="N66" s="141"/>
      <c r="O66" s="42"/>
      <c r="P66" s="42"/>
      <c r="Q66" s="42"/>
      <c r="R66" s="42"/>
      <c r="S66" s="44" t="str">
        <f>IF(Personalização!B18=0,"",Personalização!B18)</f>
        <v>Despesa 12</v>
      </c>
      <c r="T66" s="45" t="str">
        <f>IF(Jan!G17=0,"",Jan!G17)</f>
        <v/>
      </c>
      <c r="U66" s="45" t="str">
        <f>IF(Fev!G17=0,"",Fev!G17)</f>
        <v/>
      </c>
      <c r="V66" s="45" t="str">
        <f>IF(Mar!G17=0,"",Mar!G17)</f>
        <v/>
      </c>
      <c r="W66" s="45" t="str">
        <f>IF(Abr!G17=0,"",Abr!G17)</f>
        <v/>
      </c>
      <c r="X66" s="45" t="str">
        <f>IF(Mai!G17=0,"",Mai!G17)</f>
        <v/>
      </c>
      <c r="Y66" s="45" t="str">
        <f>IF(Jun!G17=0,"",Jun!G17)</f>
        <v/>
      </c>
      <c r="Z66" s="45" t="str">
        <f>IF(Jul!G17=0,"",Jul!G17)</f>
        <v/>
      </c>
      <c r="AA66" s="45" t="str">
        <f>IF(Ago!G17=0,"",Ago!G17)</f>
        <v/>
      </c>
      <c r="AB66" s="45" t="str">
        <f>IF(Set!G17=0,"",Set!G17)</f>
        <v/>
      </c>
      <c r="AC66" s="45" t="str">
        <f>IF(Out!G17=0,"",Out!G17)</f>
        <v/>
      </c>
      <c r="AD66" s="45" t="str">
        <f>IF(Nov!G17=0,"",Nov!G17)</f>
        <v/>
      </c>
      <c r="AE66" s="45" t="str">
        <f>IF(Dez!G17=0,"",Dez!G17)</f>
        <v/>
      </c>
      <c r="AF66" s="42"/>
      <c r="AG66" s="44">
        <f>Personalização!S18</f>
        <v>0</v>
      </c>
      <c r="AH66" s="45" t="str">
        <f>Jan!$Q21</f>
        <v/>
      </c>
      <c r="AI66" s="45" t="str">
        <f>Fev!$Q21</f>
        <v/>
      </c>
      <c r="AJ66" s="45" t="str">
        <f>Mar!$Q21</f>
        <v/>
      </c>
      <c r="AK66" s="45" t="str">
        <f>Abr!$Q21</f>
        <v/>
      </c>
      <c r="AL66" s="45" t="str">
        <f>Mai!$Q21</f>
        <v/>
      </c>
      <c r="AM66" s="45" t="str">
        <f>Jun!$Q21</f>
        <v/>
      </c>
      <c r="AN66" s="45" t="str">
        <f>Jul!$Q21</f>
        <v/>
      </c>
      <c r="AO66" s="45" t="str">
        <f>Ago!$Q21</f>
        <v/>
      </c>
      <c r="AP66" s="45" t="str">
        <f>Set!$Q21</f>
        <v/>
      </c>
      <c r="AQ66" s="45" t="str">
        <f>Out!$Q21</f>
        <v/>
      </c>
      <c r="AR66" s="45" t="str">
        <f>Nov!$Q21</f>
        <v/>
      </c>
      <c r="AS66" s="45" t="str">
        <f>Dez!$Q21</f>
        <v/>
      </c>
    </row>
    <row r="67" spans="1:45" ht="16" x14ac:dyDescent="0.2">
      <c r="A67" s="42"/>
      <c r="B67" s="42"/>
      <c r="C67" s="42"/>
      <c r="D67" s="42"/>
      <c r="E67" s="42"/>
      <c r="F67" s="42"/>
      <c r="G67" s="141"/>
      <c r="H67" s="141"/>
      <c r="I67" s="141"/>
      <c r="J67" s="42"/>
      <c r="K67" s="141"/>
      <c r="L67" s="141"/>
      <c r="M67" s="141"/>
      <c r="N67" s="141"/>
      <c r="O67" s="42"/>
      <c r="P67" s="42"/>
      <c r="Q67" s="42"/>
      <c r="R67" s="42"/>
      <c r="S67" s="44" t="str">
        <f>IF(Personalização!B19=0,"",Personalização!B19)</f>
        <v/>
      </c>
      <c r="T67" s="45" t="str">
        <f>IF(Jan!G18=0,"",Jan!G18)</f>
        <v/>
      </c>
      <c r="U67" s="45" t="str">
        <f>IF(Fev!G18=0,"",Fev!G18)</f>
        <v/>
      </c>
      <c r="V67" s="45" t="str">
        <f>IF(Mar!G18=0,"",Mar!G18)</f>
        <v/>
      </c>
      <c r="W67" s="45" t="str">
        <f>IF(Abr!G18=0,"",Abr!G18)</f>
        <v/>
      </c>
      <c r="X67" s="45" t="str">
        <f>IF(Mai!G18=0,"",Mai!G18)</f>
        <v/>
      </c>
      <c r="Y67" s="45" t="str">
        <f>IF(Jun!G18=0,"",Jun!G18)</f>
        <v/>
      </c>
      <c r="Z67" s="45" t="str">
        <f>IF(Jul!G18=0,"",Jul!G18)</f>
        <v/>
      </c>
      <c r="AA67" s="45" t="str">
        <f>IF(Ago!G18=0,"",Ago!G18)</f>
        <v/>
      </c>
      <c r="AB67" s="45" t="str">
        <f>IF(Set!G18=0,"",Set!G18)</f>
        <v/>
      </c>
      <c r="AC67" s="45" t="str">
        <f>IF(Out!G18=0,"",Out!G18)</f>
        <v/>
      </c>
      <c r="AD67" s="45" t="str">
        <f>IF(Nov!G18=0,"",Nov!G18)</f>
        <v/>
      </c>
      <c r="AE67" s="45" t="str">
        <f>IF(Dez!G18=0,"",Dez!G18)</f>
        <v/>
      </c>
      <c r="AF67" s="42"/>
      <c r="AG67" s="44">
        <f>Personalização!S19</f>
        <v>0</v>
      </c>
      <c r="AH67" s="45" t="str">
        <f>Jan!$Q22</f>
        <v/>
      </c>
      <c r="AI67" s="45" t="str">
        <f>Fev!$Q22</f>
        <v/>
      </c>
      <c r="AJ67" s="45" t="str">
        <f>Mar!$Q22</f>
        <v/>
      </c>
      <c r="AK67" s="45" t="str">
        <f>Abr!$Q22</f>
        <v/>
      </c>
      <c r="AL67" s="45" t="str">
        <f>Mai!$Q22</f>
        <v/>
      </c>
      <c r="AM67" s="45" t="str">
        <f>Jun!$Q22</f>
        <v/>
      </c>
      <c r="AN67" s="45" t="str">
        <f>Jul!$Q22</f>
        <v/>
      </c>
      <c r="AO67" s="45" t="str">
        <f>Ago!$Q22</f>
        <v/>
      </c>
      <c r="AP67" s="45" t="str">
        <f>Set!$Q22</f>
        <v/>
      </c>
      <c r="AQ67" s="45" t="str">
        <f>Out!$Q22</f>
        <v/>
      </c>
      <c r="AR67" s="45" t="str">
        <f>Nov!$Q22</f>
        <v/>
      </c>
      <c r="AS67" s="45" t="str">
        <f>Dez!$Q22</f>
        <v/>
      </c>
    </row>
    <row r="68" spans="1:45" ht="16" x14ac:dyDescent="0.2">
      <c r="A68" s="42"/>
      <c r="B68" s="42"/>
      <c r="C68" s="42"/>
      <c r="D68" s="42"/>
      <c r="E68" s="42"/>
      <c r="F68" s="42"/>
      <c r="G68" s="141"/>
      <c r="H68" s="141"/>
      <c r="I68" s="141"/>
      <c r="J68" s="42"/>
      <c r="K68" s="141"/>
      <c r="L68" s="141"/>
      <c r="M68" s="141"/>
      <c r="N68" s="141"/>
      <c r="O68" s="42"/>
      <c r="P68" s="42"/>
      <c r="Q68" s="42"/>
      <c r="R68" s="42"/>
      <c r="S68" s="44" t="str">
        <f>IF(Personalização!B20=0,"",Personalização!B20)</f>
        <v/>
      </c>
      <c r="T68" s="45" t="str">
        <f>IF(Jan!G19=0,"",Jan!G19)</f>
        <v/>
      </c>
      <c r="U68" s="45" t="str">
        <f>IF(Fev!G19=0,"",Fev!G19)</f>
        <v/>
      </c>
      <c r="V68" s="45" t="str">
        <f>IF(Mar!G19=0,"",Mar!G19)</f>
        <v/>
      </c>
      <c r="W68" s="45" t="str">
        <f>IF(Abr!G19=0,"",Abr!G19)</f>
        <v/>
      </c>
      <c r="X68" s="45" t="str">
        <f>IF(Mai!G19=0,"",Mai!G19)</f>
        <v/>
      </c>
      <c r="Y68" s="45" t="str">
        <f>IF(Jun!G19=0,"",Jun!G19)</f>
        <v/>
      </c>
      <c r="Z68" s="45" t="str">
        <f>IF(Jul!G19=0,"",Jul!G19)</f>
        <v/>
      </c>
      <c r="AA68" s="45" t="str">
        <f>IF(Ago!G19=0,"",Ago!G19)</f>
        <v/>
      </c>
      <c r="AB68" s="45" t="str">
        <f>IF(Set!G19=0,"",Set!G19)</f>
        <v/>
      </c>
      <c r="AC68" s="45" t="str">
        <f>IF(Out!G19=0,"",Out!G19)</f>
        <v/>
      </c>
      <c r="AD68" s="45" t="str">
        <f>IF(Nov!G19=0,"",Nov!G19)</f>
        <v/>
      </c>
      <c r="AE68" s="45" t="str">
        <f>IF(Dez!G19=0,"",Dez!G19)</f>
        <v/>
      </c>
      <c r="AF68" s="42"/>
      <c r="AG68" s="44">
        <f>Personalização!S20</f>
        <v>0</v>
      </c>
      <c r="AH68" s="45" t="str">
        <f>Jan!$Q23</f>
        <v/>
      </c>
      <c r="AI68" s="45" t="str">
        <f>Fev!$Q23</f>
        <v/>
      </c>
      <c r="AJ68" s="45" t="str">
        <f>Mar!$Q23</f>
        <v/>
      </c>
      <c r="AK68" s="45" t="str">
        <f>Abr!$Q23</f>
        <v/>
      </c>
      <c r="AL68" s="45" t="str">
        <f>Mai!$Q23</f>
        <v/>
      </c>
      <c r="AM68" s="45" t="str">
        <f>Jun!$Q23</f>
        <v/>
      </c>
      <c r="AN68" s="45" t="str">
        <f>Jul!$Q23</f>
        <v/>
      </c>
      <c r="AO68" s="45" t="str">
        <f>Ago!$Q23</f>
        <v/>
      </c>
      <c r="AP68" s="45" t="str">
        <f>Set!$Q23</f>
        <v/>
      </c>
      <c r="AQ68" s="45" t="str">
        <f>Out!$Q23</f>
        <v/>
      </c>
      <c r="AR68" s="45" t="str">
        <f>Nov!$Q23</f>
        <v/>
      </c>
      <c r="AS68" s="45" t="str">
        <f>Dez!$Q23</f>
        <v/>
      </c>
    </row>
    <row r="69" spans="1:45" ht="16" x14ac:dyDescent="0.2">
      <c r="A69" s="42"/>
      <c r="B69" s="42"/>
      <c r="C69" s="42"/>
      <c r="D69" s="42"/>
      <c r="E69" s="42"/>
      <c r="F69" s="42"/>
      <c r="G69" s="141"/>
      <c r="H69" s="141"/>
      <c r="I69" s="141"/>
      <c r="J69" s="42"/>
      <c r="K69" s="141"/>
      <c r="L69" s="141"/>
      <c r="M69" s="141"/>
      <c r="N69" s="141"/>
      <c r="O69" s="42"/>
      <c r="P69" s="42"/>
      <c r="Q69" s="42"/>
      <c r="R69" s="42"/>
      <c r="S69" s="44" t="str">
        <f>IF(Personalização!B21=0,"",Personalização!B21)</f>
        <v/>
      </c>
      <c r="T69" s="45" t="str">
        <f>IF(Jan!G20=0,"",Jan!G20)</f>
        <v/>
      </c>
      <c r="U69" s="45" t="str">
        <f>IF(Fev!G20=0,"",Fev!G20)</f>
        <v/>
      </c>
      <c r="V69" s="45" t="str">
        <f>IF(Mar!G20=0,"",Mar!G20)</f>
        <v/>
      </c>
      <c r="W69" s="45" t="str">
        <f>IF(Abr!G20=0,"",Abr!G20)</f>
        <v/>
      </c>
      <c r="X69" s="45" t="str">
        <f>IF(Mai!G20=0,"",Mai!G20)</f>
        <v/>
      </c>
      <c r="Y69" s="45" t="str">
        <f>IF(Jun!G20=0,"",Jun!G20)</f>
        <v/>
      </c>
      <c r="Z69" s="45" t="str">
        <f>IF(Jul!G20=0,"",Jul!G20)</f>
        <v/>
      </c>
      <c r="AA69" s="45" t="str">
        <f>IF(Ago!G20=0,"",Ago!G20)</f>
        <v/>
      </c>
      <c r="AB69" s="45" t="str">
        <f>IF(Set!G20=0,"",Set!G20)</f>
        <v/>
      </c>
      <c r="AC69" s="45" t="str">
        <f>IF(Out!G20=0,"",Out!G20)</f>
        <v/>
      </c>
      <c r="AD69" s="45" t="str">
        <f>IF(Nov!G20=0,"",Nov!G20)</f>
        <v/>
      </c>
      <c r="AE69" s="45" t="str">
        <f>IF(Dez!G20=0,"",Dez!G20)</f>
        <v/>
      </c>
      <c r="AF69" s="42"/>
      <c r="AG69" s="44">
        <f>Personalização!S21</f>
        <v>0</v>
      </c>
      <c r="AH69" s="45" t="str">
        <f>Jan!$Q24</f>
        <v/>
      </c>
      <c r="AI69" s="45" t="str">
        <f>Fev!$Q24</f>
        <v/>
      </c>
      <c r="AJ69" s="45" t="str">
        <f>Mar!$Q24</f>
        <v/>
      </c>
      <c r="AK69" s="45" t="str">
        <f>Abr!$Q24</f>
        <v/>
      </c>
      <c r="AL69" s="45" t="str">
        <f>Mai!$Q24</f>
        <v/>
      </c>
      <c r="AM69" s="45" t="str">
        <f>Jun!$Q24</f>
        <v/>
      </c>
      <c r="AN69" s="45" t="str">
        <f>Jul!$Q24</f>
        <v/>
      </c>
      <c r="AO69" s="45" t="str">
        <f>Ago!$Q24</f>
        <v/>
      </c>
      <c r="AP69" s="45" t="str">
        <f>Set!$Q24</f>
        <v/>
      </c>
      <c r="AQ69" s="45" t="str">
        <f>Out!$Q24</f>
        <v/>
      </c>
      <c r="AR69" s="45" t="str">
        <f>Nov!$Q24</f>
        <v/>
      </c>
      <c r="AS69" s="45" t="str">
        <f>Dez!$Q24</f>
        <v/>
      </c>
    </row>
    <row r="70" spans="1:45" ht="16" x14ac:dyDescent="0.2">
      <c r="A70" s="42"/>
      <c r="B70" s="42"/>
      <c r="C70" s="42"/>
      <c r="D70" s="42"/>
      <c r="E70" s="42"/>
      <c r="F70" s="42"/>
      <c r="G70" s="141"/>
      <c r="H70" s="141"/>
      <c r="I70" s="141"/>
      <c r="J70" s="42"/>
      <c r="K70" s="141"/>
      <c r="L70" s="141"/>
      <c r="M70" s="141"/>
      <c r="N70" s="141"/>
      <c r="O70" s="42"/>
      <c r="P70" s="42"/>
      <c r="Q70" s="42"/>
      <c r="R70" s="42"/>
      <c r="S70" s="44" t="str">
        <f>IF(Personalização!B22=0,"",Personalização!B22)</f>
        <v/>
      </c>
      <c r="T70" s="45" t="str">
        <f>IF(Jan!G21=0,"",Jan!G21)</f>
        <v/>
      </c>
      <c r="U70" s="45" t="str">
        <f>IF(Fev!G21=0,"",Fev!G21)</f>
        <v/>
      </c>
      <c r="V70" s="45" t="str">
        <f>IF(Mar!G21=0,"",Mar!G21)</f>
        <v/>
      </c>
      <c r="W70" s="45" t="str">
        <f>IF(Abr!G21=0,"",Abr!G21)</f>
        <v/>
      </c>
      <c r="X70" s="45" t="str">
        <f>IF(Mai!G21=0,"",Mai!G21)</f>
        <v/>
      </c>
      <c r="Y70" s="45" t="str">
        <f>IF(Jun!G21=0,"",Jun!G21)</f>
        <v/>
      </c>
      <c r="Z70" s="45" t="str">
        <f>IF(Jul!G21=0,"",Jul!G21)</f>
        <v/>
      </c>
      <c r="AA70" s="45" t="str">
        <f>IF(Ago!G21=0,"",Ago!G21)</f>
        <v/>
      </c>
      <c r="AB70" s="45" t="str">
        <f>IF(Set!G21=0,"",Set!G21)</f>
        <v/>
      </c>
      <c r="AC70" s="45" t="str">
        <f>IF(Out!G21=0,"",Out!G21)</f>
        <v/>
      </c>
      <c r="AD70" s="45" t="str">
        <f>IF(Nov!G21=0,"",Nov!G21)</f>
        <v/>
      </c>
      <c r="AE70" s="45" t="str">
        <f>IF(Dez!G21=0,"",Dez!G21)</f>
        <v/>
      </c>
      <c r="AF70" s="42"/>
      <c r="AG70" s="44">
        <f>Personalização!S22</f>
        <v>0</v>
      </c>
      <c r="AH70" s="45" t="str">
        <f>Jan!$Q25</f>
        <v/>
      </c>
      <c r="AI70" s="45" t="str">
        <f>Fev!$Q25</f>
        <v/>
      </c>
      <c r="AJ70" s="45" t="str">
        <f>Mar!$Q25</f>
        <v/>
      </c>
      <c r="AK70" s="45" t="str">
        <f>Abr!$Q25</f>
        <v/>
      </c>
      <c r="AL70" s="45" t="str">
        <f>Mai!$Q25</f>
        <v/>
      </c>
      <c r="AM70" s="45" t="str">
        <f>Jun!$Q25</f>
        <v/>
      </c>
      <c r="AN70" s="45" t="str">
        <f>Jul!$Q25</f>
        <v/>
      </c>
      <c r="AO70" s="45" t="str">
        <f>Ago!$Q25</f>
        <v/>
      </c>
      <c r="AP70" s="45" t="str">
        <f>Set!$Q25</f>
        <v/>
      </c>
      <c r="AQ70" s="45" t="str">
        <f>Out!$Q25</f>
        <v/>
      </c>
      <c r="AR70" s="45" t="str">
        <f>Nov!$Q25</f>
        <v/>
      </c>
      <c r="AS70" s="45" t="str">
        <f>Dez!$Q25</f>
        <v/>
      </c>
    </row>
    <row r="71" spans="1:45" ht="16" x14ac:dyDescent="0.2">
      <c r="A71" s="42"/>
      <c r="B71" s="42"/>
      <c r="C71" s="42"/>
      <c r="D71" s="42"/>
      <c r="E71" s="42"/>
      <c r="F71" s="42"/>
      <c r="G71" s="141"/>
      <c r="H71" s="141"/>
      <c r="I71" s="141"/>
      <c r="J71" s="42"/>
      <c r="K71" s="141"/>
      <c r="L71" s="141"/>
      <c r="M71" s="141"/>
      <c r="N71" s="141"/>
      <c r="O71" s="42"/>
      <c r="P71" s="42"/>
      <c r="Q71" s="42"/>
      <c r="R71" s="42"/>
      <c r="S71" s="44" t="str">
        <f>IF(Personalização!B23=0,"",Personalização!B23)</f>
        <v/>
      </c>
      <c r="T71" s="45" t="str">
        <f>IF(Jan!G22=0,"",Jan!G22)</f>
        <v/>
      </c>
      <c r="U71" s="45" t="str">
        <f>IF(Fev!G22=0,"",Fev!G22)</f>
        <v/>
      </c>
      <c r="V71" s="45" t="str">
        <f>IF(Mar!G22=0,"",Mar!G22)</f>
        <v/>
      </c>
      <c r="W71" s="45" t="str">
        <f>IF(Abr!G22=0,"",Abr!G22)</f>
        <v/>
      </c>
      <c r="X71" s="45" t="str">
        <f>IF(Mai!G22=0,"",Mai!G22)</f>
        <v/>
      </c>
      <c r="Y71" s="45" t="str">
        <f>IF(Jun!G22=0,"",Jun!G22)</f>
        <v/>
      </c>
      <c r="Z71" s="45" t="str">
        <f>IF(Jul!G22=0,"",Jul!G22)</f>
        <v/>
      </c>
      <c r="AA71" s="45" t="str">
        <f>IF(Ago!G22=0,"",Ago!G22)</f>
        <v/>
      </c>
      <c r="AB71" s="45" t="str">
        <f>IF(Set!G22=0,"",Set!G22)</f>
        <v/>
      </c>
      <c r="AC71" s="45" t="str">
        <f>IF(Out!G22=0,"",Out!G22)</f>
        <v/>
      </c>
      <c r="AD71" s="45" t="str">
        <f>IF(Nov!G22=0,"",Nov!G22)</f>
        <v/>
      </c>
      <c r="AE71" s="45" t="str">
        <f>IF(Dez!G22=0,"",Dez!G22)</f>
        <v/>
      </c>
      <c r="AF71" s="42"/>
      <c r="AG71" s="44">
        <f>Personalização!S23</f>
        <v>0</v>
      </c>
      <c r="AH71" s="45" t="str">
        <f>Jan!$Q26</f>
        <v/>
      </c>
      <c r="AI71" s="45" t="str">
        <f>Fev!$Q26</f>
        <v/>
      </c>
      <c r="AJ71" s="45" t="str">
        <f>Mar!$Q26</f>
        <v/>
      </c>
      <c r="AK71" s="45" t="str">
        <f>Abr!$Q26</f>
        <v/>
      </c>
      <c r="AL71" s="45" t="str">
        <f>Mai!$Q26</f>
        <v/>
      </c>
      <c r="AM71" s="45" t="str">
        <f>Jun!$Q26</f>
        <v/>
      </c>
      <c r="AN71" s="45" t="str">
        <f>Jul!$Q26</f>
        <v/>
      </c>
      <c r="AO71" s="45" t="str">
        <f>Ago!$Q26</f>
        <v/>
      </c>
      <c r="AP71" s="45" t="str">
        <f>Set!$Q26</f>
        <v/>
      </c>
      <c r="AQ71" s="45" t="str">
        <f>Out!$Q26</f>
        <v/>
      </c>
      <c r="AR71" s="45" t="str">
        <f>Nov!$Q26</f>
        <v/>
      </c>
      <c r="AS71" s="45" t="str">
        <f>Dez!$Q26</f>
        <v/>
      </c>
    </row>
    <row r="72" spans="1:45" ht="16" x14ac:dyDescent="0.2">
      <c r="A72" s="42"/>
      <c r="B72" s="42"/>
      <c r="C72" s="42"/>
      <c r="D72" s="42"/>
      <c r="E72" s="42"/>
      <c r="F72" s="42"/>
      <c r="G72" s="141"/>
      <c r="H72" s="141"/>
      <c r="I72" s="141"/>
      <c r="J72" s="42"/>
      <c r="K72" s="141"/>
      <c r="L72" s="141"/>
      <c r="M72" s="141"/>
      <c r="N72" s="141"/>
      <c r="O72" s="42"/>
      <c r="P72" s="42"/>
      <c r="Q72" s="42"/>
      <c r="R72" s="42"/>
      <c r="S72" s="44" t="str">
        <f>IF(Personalização!B24=0,"",Personalização!B24)</f>
        <v/>
      </c>
      <c r="T72" s="45" t="str">
        <f>IF(Jan!G23=0,"",Jan!G23)</f>
        <v/>
      </c>
      <c r="U72" s="45" t="str">
        <f>IF(Fev!G23=0,"",Fev!G23)</f>
        <v/>
      </c>
      <c r="V72" s="45" t="str">
        <f>IF(Mar!G23=0,"",Mar!G23)</f>
        <v/>
      </c>
      <c r="W72" s="45" t="str">
        <f>IF(Abr!G23=0,"",Abr!G23)</f>
        <v/>
      </c>
      <c r="X72" s="45" t="str">
        <f>IF(Mai!G23=0,"",Mai!G23)</f>
        <v/>
      </c>
      <c r="Y72" s="45" t="str">
        <f>IF(Jun!G23=0,"",Jun!G23)</f>
        <v/>
      </c>
      <c r="Z72" s="45" t="str">
        <f>IF(Jul!G23=0,"",Jul!G23)</f>
        <v/>
      </c>
      <c r="AA72" s="45" t="str">
        <f>IF(Ago!G23=0,"",Ago!G23)</f>
        <v/>
      </c>
      <c r="AB72" s="45" t="str">
        <f>IF(Set!G23=0,"",Set!G23)</f>
        <v/>
      </c>
      <c r="AC72" s="45" t="str">
        <f>IF(Out!G23=0,"",Out!G23)</f>
        <v/>
      </c>
      <c r="AD72" s="45" t="str">
        <f>IF(Nov!G23=0,"",Nov!G23)</f>
        <v/>
      </c>
      <c r="AE72" s="45" t="str">
        <f>IF(Dez!G23=0,"",Dez!G23)</f>
        <v/>
      </c>
      <c r="AF72" s="42"/>
      <c r="AG72" s="120"/>
      <c r="AH72" s="55"/>
      <c r="AI72" s="16"/>
      <c r="AJ72" s="16"/>
      <c r="AK72" s="16"/>
      <c r="AL72" s="16"/>
      <c r="AM72" s="16"/>
      <c r="AN72" s="16"/>
      <c r="AO72" s="16"/>
      <c r="AP72" s="16"/>
      <c r="AQ72" s="16"/>
      <c r="AR72" s="16"/>
      <c r="AS72" s="16"/>
    </row>
    <row r="73" spans="1:45" ht="16" x14ac:dyDescent="0.2">
      <c r="A73" s="42"/>
      <c r="B73" s="42"/>
      <c r="C73" s="42"/>
      <c r="D73" s="42"/>
      <c r="E73" s="42"/>
      <c r="F73" s="42"/>
      <c r="G73" s="141"/>
      <c r="H73" s="141"/>
      <c r="I73" s="141"/>
      <c r="J73" s="42"/>
      <c r="K73" s="141"/>
      <c r="L73" s="141"/>
      <c r="M73" s="141"/>
      <c r="N73" s="141"/>
      <c r="O73" s="42"/>
      <c r="P73" s="42"/>
      <c r="Q73" s="42"/>
      <c r="R73" s="42"/>
      <c r="S73" s="44" t="str">
        <f>IF(Personalização!B25=0,"",Personalização!B25)</f>
        <v/>
      </c>
      <c r="T73" s="45" t="str">
        <f>IF(Jan!G24=0,"",Jan!G24)</f>
        <v/>
      </c>
      <c r="U73" s="45" t="str">
        <f>IF(Fev!G24=0,"",Fev!G24)</f>
        <v/>
      </c>
      <c r="V73" s="45" t="str">
        <f>IF(Mar!G24=0,"",Mar!G24)</f>
        <v/>
      </c>
      <c r="W73" s="45" t="str">
        <f>IF(Abr!G24=0,"",Abr!G24)</f>
        <v/>
      </c>
      <c r="X73" s="45" t="str">
        <f>IF(Mai!G24=0,"",Mai!G24)</f>
        <v/>
      </c>
      <c r="Y73" s="45" t="str">
        <f>IF(Jun!G24=0,"",Jun!G24)</f>
        <v/>
      </c>
      <c r="Z73" s="45" t="str">
        <f>IF(Jul!G24=0,"",Jul!G24)</f>
        <v/>
      </c>
      <c r="AA73" s="45" t="str">
        <f>IF(Ago!G24=0,"",Ago!G24)</f>
        <v/>
      </c>
      <c r="AB73" s="45" t="str">
        <f>IF(Set!G24=0,"",Set!G24)</f>
        <v/>
      </c>
      <c r="AC73" s="45" t="str">
        <f>IF(Out!G24=0,"",Out!G24)</f>
        <v/>
      </c>
      <c r="AD73" s="45" t="str">
        <f>IF(Nov!G24=0,"",Nov!G24)</f>
        <v/>
      </c>
      <c r="AE73" s="45" t="str">
        <f>IF(Dez!G24=0,"",Dez!G24)</f>
        <v/>
      </c>
      <c r="AF73" s="42"/>
      <c r="AG73" s="120"/>
      <c r="AH73" s="55"/>
      <c r="AI73" s="16"/>
      <c r="AJ73" s="16"/>
      <c r="AK73" s="16"/>
      <c r="AL73" s="16"/>
      <c r="AM73" s="16"/>
      <c r="AN73" s="16"/>
      <c r="AO73" s="16"/>
      <c r="AP73" s="16"/>
      <c r="AQ73" s="16"/>
      <c r="AR73" s="16"/>
      <c r="AS73" s="16"/>
    </row>
    <row r="74" spans="1:45" ht="16" x14ac:dyDescent="0.2">
      <c r="A74" s="42"/>
      <c r="B74" s="42"/>
      <c r="C74" s="42"/>
      <c r="D74" s="42"/>
      <c r="E74" s="42"/>
      <c r="F74" s="42"/>
      <c r="G74" s="141"/>
      <c r="H74" s="141"/>
      <c r="I74" s="141"/>
      <c r="J74" s="42"/>
      <c r="K74" s="141"/>
      <c r="L74" s="141"/>
      <c r="M74" s="141"/>
      <c r="N74" s="141"/>
      <c r="O74" s="42"/>
      <c r="P74" s="42"/>
      <c r="Q74" s="42"/>
      <c r="R74" s="42"/>
      <c r="S74" s="44" t="str">
        <f>IF(Personalização!B26=0,"",Personalização!B26)</f>
        <v/>
      </c>
      <c r="T74" s="45" t="str">
        <f>IF(Jan!G25=0,"",Jan!G25)</f>
        <v/>
      </c>
      <c r="U74" s="45" t="str">
        <f>IF(Fev!G25=0,"",Fev!G25)</f>
        <v/>
      </c>
      <c r="V74" s="45" t="str">
        <f>IF(Mar!G25=0,"",Mar!G25)</f>
        <v/>
      </c>
      <c r="W74" s="45" t="str">
        <f>IF(Abr!G25=0,"",Abr!G25)</f>
        <v/>
      </c>
      <c r="X74" s="45" t="str">
        <f>IF(Mai!G25=0,"",Mai!G25)</f>
        <v/>
      </c>
      <c r="Y74" s="45" t="str">
        <f>IF(Jun!G25=0,"",Jun!G25)</f>
        <v/>
      </c>
      <c r="Z74" s="45" t="str">
        <f>IF(Jul!G25=0,"",Jul!G25)</f>
        <v/>
      </c>
      <c r="AA74" s="45" t="str">
        <f>IF(Ago!G25=0,"",Ago!G25)</f>
        <v/>
      </c>
      <c r="AB74" s="45" t="str">
        <f>IF(Set!G25=0,"",Set!G25)</f>
        <v/>
      </c>
      <c r="AC74" s="45" t="str">
        <f>IF(Out!G25=0,"",Out!G25)</f>
        <v/>
      </c>
      <c r="AD74" s="45" t="str">
        <f>IF(Nov!G25=0,"",Nov!G25)</f>
        <v/>
      </c>
      <c r="AE74" s="45" t="str">
        <f>IF(Dez!G25=0,"",Dez!G25)</f>
        <v/>
      </c>
      <c r="AF74" s="42"/>
      <c r="AG74" s="120"/>
      <c r="AH74" s="55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</row>
    <row r="75" spans="1:45" ht="16" x14ac:dyDescent="0.2">
      <c r="A75" s="42"/>
      <c r="B75" s="42"/>
      <c r="C75" s="42"/>
      <c r="D75" s="42"/>
      <c r="E75" s="42"/>
      <c r="F75" s="42"/>
      <c r="G75" s="141"/>
      <c r="H75" s="141"/>
      <c r="I75" s="141"/>
      <c r="J75" s="42"/>
      <c r="K75" s="141"/>
      <c r="L75" s="141"/>
      <c r="M75" s="141"/>
      <c r="N75" s="141"/>
      <c r="O75" s="42"/>
      <c r="P75" s="42"/>
      <c r="Q75" s="42"/>
      <c r="R75" s="42"/>
      <c r="S75" s="44" t="str">
        <f>IF(Personalização!B27=0,"",Personalização!B27)</f>
        <v/>
      </c>
      <c r="T75" s="45" t="str">
        <f>IF(Jan!G26=0,"",Jan!G26)</f>
        <v/>
      </c>
      <c r="U75" s="45" t="str">
        <f>IF(Fev!G26=0,"",Fev!G26)</f>
        <v/>
      </c>
      <c r="V75" s="45" t="str">
        <f>IF(Mar!G26=0,"",Mar!G26)</f>
        <v/>
      </c>
      <c r="W75" s="45" t="str">
        <f>IF(Abr!G26=0,"",Abr!G26)</f>
        <v/>
      </c>
      <c r="X75" s="45" t="str">
        <f>IF(Mai!G26=0,"",Mai!G26)</f>
        <v/>
      </c>
      <c r="Y75" s="45" t="str">
        <f>IF(Jun!G26=0,"",Jun!G26)</f>
        <v/>
      </c>
      <c r="Z75" s="45" t="str">
        <f>IF(Jul!G26=0,"",Jul!G26)</f>
        <v/>
      </c>
      <c r="AA75" s="45" t="str">
        <f>IF(Ago!G26=0,"",Ago!G26)</f>
        <v/>
      </c>
      <c r="AB75" s="45" t="str">
        <f>IF(Set!G26=0,"",Set!G26)</f>
        <v/>
      </c>
      <c r="AC75" s="45" t="str">
        <f>IF(Out!G26=0,"",Out!G26)</f>
        <v/>
      </c>
      <c r="AD75" s="45" t="str">
        <f>IF(Nov!G26=0,"",Nov!G26)</f>
        <v/>
      </c>
      <c r="AE75" s="45" t="str">
        <f>IF(Dez!G26=0,"",Dez!G26)</f>
        <v/>
      </c>
      <c r="AF75" s="42"/>
      <c r="AG75" s="42"/>
      <c r="AH75" s="42"/>
    </row>
    <row r="76" spans="1:45" ht="16" x14ac:dyDescent="0.2">
      <c r="A76" s="42"/>
      <c r="B76" s="42"/>
      <c r="C76" s="42"/>
      <c r="D76" s="42"/>
      <c r="E76" s="42"/>
      <c r="F76" s="42"/>
      <c r="G76" s="141"/>
      <c r="H76" s="141"/>
      <c r="I76" s="141"/>
      <c r="J76" s="42"/>
      <c r="K76" s="141"/>
      <c r="L76" s="141"/>
      <c r="M76" s="141"/>
      <c r="N76" s="141"/>
      <c r="O76" s="42"/>
      <c r="P76" s="42"/>
      <c r="Q76" s="42"/>
      <c r="R76" s="42"/>
      <c r="S76" s="44" t="str">
        <f>IF(Personalização!B28=0,"",Personalização!B28)</f>
        <v/>
      </c>
      <c r="T76" s="45" t="str">
        <f>IF(Jan!G27=0,"",Jan!G27)</f>
        <v/>
      </c>
      <c r="U76" s="45" t="str">
        <f>IF(Fev!G27=0,"",Fev!G27)</f>
        <v/>
      </c>
      <c r="V76" s="45" t="str">
        <f>IF(Mar!G27=0,"",Mar!G27)</f>
        <v/>
      </c>
      <c r="W76" s="45" t="str">
        <f>IF(Abr!G27=0,"",Abr!G27)</f>
        <v/>
      </c>
      <c r="X76" s="45" t="str">
        <f>IF(Mai!G27=0,"",Mai!G27)</f>
        <v/>
      </c>
      <c r="Y76" s="45" t="str">
        <f>IF(Jun!G27=0,"",Jun!G27)</f>
        <v/>
      </c>
      <c r="Z76" s="45" t="str">
        <f>IF(Jul!G27=0,"",Jul!G27)</f>
        <v/>
      </c>
      <c r="AA76" s="45" t="str">
        <f>IF(Ago!G27=0,"",Ago!G27)</f>
        <v/>
      </c>
      <c r="AB76" s="45" t="str">
        <f>IF(Set!G27=0,"",Set!G27)</f>
        <v/>
      </c>
      <c r="AC76" s="45" t="str">
        <f>IF(Out!G27=0,"",Out!G27)</f>
        <v/>
      </c>
      <c r="AD76" s="45" t="str">
        <f>IF(Nov!G27=0,"",Nov!G27)</f>
        <v/>
      </c>
      <c r="AE76" s="45" t="str">
        <f>IF(Dez!G27=0,"",Dez!G27)</f>
        <v/>
      </c>
      <c r="AF76" s="42"/>
      <c r="AG76" s="42"/>
      <c r="AH76" s="42"/>
    </row>
    <row r="77" spans="1:45" ht="16" x14ac:dyDescent="0.2">
      <c r="A77" s="42"/>
      <c r="B77" s="42"/>
      <c r="C77" s="42"/>
      <c r="D77" s="42"/>
      <c r="E77" s="42"/>
      <c r="F77" s="42"/>
      <c r="G77" s="141"/>
      <c r="H77" s="141"/>
      <c r="I77" s="141"/>
      <c r="J77" s="42"/>
      <c r="K77" s="141"/>
      <c r="L77" s="141"/>
      <c r="M77" s="141"/>
      <c r="N77" s="141"/>
      <c r="O77" s="42"/>
      <c r="P77" s="42"/>
      <c r="Q77" s="42"/>
      <c r="R77" s="42"/>
      <c r="S77" s="44" t="str">
        <f>IF(Personalização!B29=0,"",Personalização!B29)</f>
        <v/>
      </c>
      <c r="T77" s="45" t="str">
        <f>IF(Jan!G28=0,"",Jan!G28)</f>
        <v/>
      </c>
      <c r="U77" s="45" t="str">
        <f>IF(Fev!G28=0,"",Fev!G28)</f>
        <v/>
      </c>
      <c r="V77" s="45" t="str">
        <f>IF(Mar!G28=0,"",Mar!G28)</f>
        <v/>
      </c>
      <c r="W77" s="45" t="str">
        <f>IF(Abr!G28=0,"",Abr!G28)</f>
        <v/>
      </c>
      <c r="X77" s="45" t="str">
        <f>IF(Mai!G28=0,"",Mai!G28)</f>
        <v/>
      </c>
      <c r="Y77" s="45" t="str">
        <f>IF(Jun!G28=0,"",Jun!G28)</f>
        <v/>
      </c>
      <c r="Z77" s="45" t="str">
        <f>IF(Jul!G28=0,"",Jul!G28)</f>
        <v/>
      </c>
      <c r="AA77" s="45" t="str">
        <f>IF(Ago!G28=0,"",Ago!G28)</f>
        <v/>
      </c>
      <c r="AB77" s="45" t="str">
        <f>IF(Set!G28=0,"",Set!G28)</f>
        <v/>
      </c>
      <c r="AC77" s="45" t="str">
        <f>IF(Out!G28=0,"",Out!G28)</f>
        <v/>
      </c>
      <c r="AD77" s="45" t="str">
        <f>IF(Nov!G28=0,"",Nov!G28)</f>
        <v/>
      </c>
      <c r="AE77" s="45" t="str">
        <f>IF(Dez!G28=0,"",Dez!G28)</f>
        <v/>
      </c>
      <c r="AF77" s="42"/>
      <c r="AG77" s="42"/>
      <c r="AH77" s="42"/>
    </row>
    <row r="78" spans="1:45" ht="16" x14ac:dyDescent="0.2">
      <c r="A78" s="42"/>
      <c r="B78" s="42"/>
      <c r="C78" s="42"/>
      <c r="D78" s="42"/>
      <c r="E78" s="42"/>
      <c r="F78" s="42"/>
      <c r="G78" s="141"/>
      <c r="H78" s="141"/>
      <c r="I78" s="141"/>
      <c r="J78" s="42"/>
      <c r="K78" s="141"/>
      <c r="L78" s="141"/>
      <c r="M78" s="141"/>
      <c r="N78" s="141"/>
      <c r="O78" s="42"/>
      <c r="P78" s="42"/>
      <c r="Q78" s="42"/>
      <c r="R78" s="42"/>
      <c r="S78" s="44" t="str">
        <f>IF(Personalização!B30=0,"",Personalização!B30)</f>
        <v/>
      </c>
      <c r="T78" s="45" t="str">
        <f>IF(Jan!G29=0,"",Jan!G29)</f>
        <v/>
      </c>
      <c r="U78" s="45" t="str">
        <f>IF(Fev!G29=0,"",Fev!G29)</f>
        <v/>
      </c>
      <c r="V78" s="45" t="str">
        <f>IF(Mar!G29=0,"",Mar!G29)</f>
        <v/>
      </c>
      <c r="W78" s="45" t="str">
        <f>IF(Abr!G29=0,"",Abr!G29)</f>
        <v/>
      </c>
      <c r="X78" s="45" t="str">
        <f>IF(Mai!G29=0,"",Mai!G29)</f>
        <v/>
      </c>
      <c r="Y78" s="45" t="str">
        <f>IF(Jun!G29=0,"",Jun!G29)</f>
        <v/>
      </c>
      <c r="Z78" s="45" t="str">
        <f>IF(Jul!G29=0,"",Jul!G29)</f>
        <v/>
      </c>
      <c r="AA78" s="45" t="str">
        <f>IF(Ago!G29=0,"",Ago!G29)</f>
        <v/>
      </c>
      <c r="AB78" s="45" t="str">
        <f>IF(Set!G29=0,"",Set!G29)</f>
        <v/>
      </c>
      <c r="AC78" s="45" t="str">
        <f>IF(Out!G29=0,"",Out!G29)</f>
        <v/>
      </c>
      <c r="AD78" s="45" t="str">
        <f>IF(Nov!G29=0,"",Nov!G29)</f>
        <v/>
      </c>
      <c r="AE78" s="45" t="str">
        <f>IF(Dez!G29=0,"",Dez!G29)</f>
        <v/>
      </c>
      <c r="AF78" s="42"/>
      <c r="AG78" s="42"/>
      <c r="AH78" s="42"/>
    </row>
    <row r="79" spans="1:45" ht="16" x14ac:dyDescent="0.2">
      <c r="A79" s="42"/>
      <c r="B79" s="42"/>
      <c r="C79" s="42"/>
      <c r="D79" s="42"/>
      <c r="E79" s="42"/>
      <c r="F79" s="42"/>
      <c r="G79" s="141"/>
      <c r="H79" s="141"/>
      <c r="I79" s="141"/>
      <c r="J79" s="42"/>
      <c r="K79" s="141"/>
      <c r="L79" s="141"/>
      <c r="M79" s="141"/>
      <c r="N79" s="141"/>
      <c r="O79" s="42"/>
      <c r="P79" s="42"/>
      <c r="Q79" s="42"/>
      <c r="R79" s="42"/>
      <c r="S79" s="44" t="str">
        <f>IF(Personalização!B31=0,"",Personalização!B31)</f>
        <v/>
      </c>
      <c r="T79" s="45" t="str">
        <f>IF(Jan!G30=0,"",Jan!G30)</f>
        <v/>
      </c>
      <c r="U79" s="45" t="str">
        <f>IF(Fev!G30=0,"",Fev!G30)</f>
        <v/>
      </c>
      <c r="V79" s="45" t="str">
        <f>IF(Mar!G30=0,"",Mar!G30)</f>
        <v/>
      </c>
      <c r="W79" s="45" t="str">
        <f>IF(Abr!G30=0,"",Abr!G30)</f>
        <v/>
      </c>
      <c r="X79" s="45" t="str">
        <f>IF(Mai!G30=0,"",Mai!G30)</f>
        <v/>
      </c>
      <c r="Y79" s="45" t="str">
        <f>IF(Jun!G30=0,"",Jun!G30)</f>
        <v/>
      </c>
      <c r="Z79" s="45" t="str">
        <f>IF(Jul!G30=0,"",Jul!G30)</f>
        <v/>
      </c>
      <c r="AA79" s="45" t="str">
        <f>IF(Ago!G30=0,"",Ago!G30)</f>
        <v/>
      </c>
      <c r="AB79" s="45" t="str">
        <f>IF(Set!G30=0,"",Set!G30)</f>
        <v/>
      </c>
      <c r="AC79" s="45" t="str">
        <f>IF(Out!G30=0,"",Out!G30)</f>
        <v/>
      </c>
      <c r="AD79" s="45" t="str">
        <f>IF(Nov!G30=0,"",Nov!G30)</f>
        <v/>
      </c>
      <c r="AE79" s="45" t="str">
        <f>IF(Dez!G30=0,"",Dez!G30)</f>
        <v/>
      </c>
      <c r="AF79" s="42"/>
      <c r="AG79" s="42"/>
      <c r="AH79" s="42"/>
    </row>
    <row r="80" spans="1:45" ht="16" x14ac:dyDescent="0.2">
      <c r="A80" s="42"/>
      <c r="B80" s="42"/>
      <c r="C80" s="42"/>
      <c r="D80" s="42"/>
      <c r="E80" s="42"/>
      <c r="F80" s="42"/>
      <c r="G80" s="141"/>
      <c r="H80" s="141"/>
      <c r="I80" s="141"/>
      <c r="J80" s="42"/>
      <c r="K80" s="141"/>
      <c r="L80" s="141"/>
      <c r="M80" s="141"/>
      <c r="N80" s="141"/>
      <c r="O80" s="42"/>
      <c r="P80" s="42"/>
      <c r="Q80" s="42"/>
      <c r="R80" s="42"/>
      <c r="S80" s="44" t="str">
        <f>IF(Personalização!B32=0,"",Personalização!B32)</f>
        <v/>
      </c>
      <c r="T80" s="45" t="str">
        <f>IF(Jan!G31=0,"",Jan!G31)</f>
        <v/>
      </c>
      <c r="U80" s="45" t="str">
        <f>IF(Fev!G31=0,"",Fev!G31)</f>
        <v/>
      </c>
      <c r="V80" s="45" t="str">
        <f>IF(Mar!G31=0,"",Mar!G31)</f>
        <v/>
      </c>
      <c r="W80" s="45" t="str">
        <f>IF(Abr!G31=0,"",Abr!G31)</f>
        <v/>
      </c>
      <c r="X80" s="45" t="str">
        <f>IF(Mai!G31=0,"",Mai!G31)</f>
        <v/>
      </c>
      <c r="Y80" s="45" t="str">
        <f>IF(Jun!G31=0,"",Jun!G31)</f>
        <v/>
      </c>
      <c r="Z80" s="45" t="str">
        <f>IF(Jul!G31=0,"",Jul!G31)</f>
        <v/>
      </c>
      <c r="AA80" s="45" t="str">
        <f>IF(Ago!G31=0,"",Ago!G31)</f>
        <v/>
      </c>
      <c r="AB80" s="45" t="str">
        <f>IF(Set!G31=0,"",Set!G31)</f>
        <v/>
      </c>
      <c r="AC80" s="45" t="str">
        <f>IF(Out!G31=0,"",Out!G31)</f>
        <v/>
      </c>
      <c r="AD80" s="45" t="str">
        <f>IF(Nov!G31=0,"",Nov!G31)</f>
        <v/>
      </c>
      <c r="AE80" s="45" t="str">
        <f>IF(Dez!G31=0,"",Dez!G31)</f>
        <v/>
      </c>
      <c r="AF80" s="42"/>
      <c r="AG80" s="42"/>
      <c r="AH80" s="42"/>
    </row>
    <row r="81" spans="1:34" ht="16" x14ac:dyDescent="0.2">
      <c r="A81" s="42"/>
      <c r="B81" s="42"/>
      <c r="C81" s="42"/>
      <c r="D81" s="42"/>
      <c r="E81" s="42"/>
      <c r="F81" s="42"/>
      <c r="G81" s="141"/>
      <c r="H81" s="141"/>
      <c r="I81" s="141"/>
      <c r="J81" s="42"/>
      <c r="K81" s="141"/>
      <c r="L81" s="141"/>
      <c r="M81" s="141"/>
      <c r="N81" s="141"/>
      <c r="O81" s="42"/>
      <c r="P81" s="42"/>
      <c r="Q81" s="42"/>
      <c r="R81" s="42"/>
      <c r="S81" s="44" t="str">
        <f>IF(Personalização!B33=0,"",Personalização!B33)</f>
        <v/>
      </c>
      <c r="T81" s="45" t="str">
        <f>IF(Jan!G32=0,"",Jan!G32)</f>
        <v/>
      </c>
      <c r="U81" s="45" t="str">
        <f>IF(Fev!G32=0,"",Fev!G32)</f>
        <v/>
      </c>
      <c r="V81" s="45" t="str">
        <f>IF(Mar!G32=0,"",Mar!G32)</f>
        <v/>
      </c>
      <c r="W81" s="45" t="str">
        <f>IF(Abr!G32=0,"",Abr!G32)</f>
        <v/>
      </c>
      <c r="X81" s="45" t="str">
        <f>IF(Mai!G32=0,"",Mai!G32)</f>
        <v/>
      </c>
      <c r="Y81" s="45" t="str">
        <f>IF(Jun!G32=0,"",Jun!G32)</f>
        <v/>
      </c>
      <c r="Z81" s="45" t="str">
        <f>IF(Jul!G32=0,"",Jul!G32)</f>
        <v/>
      </c>
      <c r="AA81" s="45" t="str">
        <f>IF(Ago!G32=0,"",Ago!G32)</f>
        <v/>
      </c>
      <c r="AB81" s="45" t="str">
        <f>IF(Set!G32=0,"",Set!G32)</f>
        <v/>
      </c>
      <c r="AC81" s="45" t="str">
        <f>IF(Out!G32=0,"",Out!G32)</f>
        <v/>
      </c>
      <c r="AD81" s="45" t="str">
        <f>IF(Nov!G32=0,"",Nov!G32)</f>
        <v/>
      </c>
      <c r="AE81" s="45" t="str">
        <f>IF(Dez!G32=0,"",Dez!G32)</f>
        <v/>
      </c>
      <c r="AF81" s="42"/>
      <c r="AG81" s="42"/>
      <c r="AH81" s="42"/>
    </row>
    <row r="82" spans="1:34" ht="16" x14ac:dyDescent="0.2">
      <c r="A82" s="42"/>
      <c r="B82" s="42"/>
      <c r="C82" s="42"/>
      <c r="D82" s="42"/>
      <c r="E82" s="42"/>
      <c r="F82" s="42"/>
      <c r="G82" s="141"/>
      <c r="H82" s="141"/>
      <c r="I82" s="141"/>
      <c r="J82" s="42"/>
      <c r="K82" s="141"/>
      <c r="L82" s="141"/>
      <c r="M82" s="141"/>
      <c r="N82" s="141"/>
      <c r="O82" s="42"/>
      <c r="P82" s="42"/>
      <c r="Q82" s="42"/>
      <c r="R82" s="42"/>
      <c r="S82" s="44" t="str">
        <f>IF(Personalização!B34=0,"",Personalização!B34)</f>
        <v/>
      </c>
      <c r="T82" s="45" t="str">
        <f>IF(Jan!G33=0,"",Jan!G33)</f>
        <v/>
      </c>
      <c r="U82" s="45" t="str">
        <f>IF(Fev!G33=0,"",Fev!G33)</f>
        <v/>
      </c>
      <c r="V82" s="45" t="str">
        <f>IF(Mar!G33=0,"",Mar!G33)</f>
        <v/>
      </c>
      <c r="W82" s="45" t="str">
        <f>IF(Abr!G33=0,"",Abr!G33)</f>
        <v/>
      </c>
      <c r="X82" s="45" t="str">
        <f>IF(Mai!G33=0,"",Mai!G33)</f>
        <v/>
      </c>
      <c r="Y82" s="45" t="str">
        <f>IF(Jun!G33=0,"",Jun!G33)</f>
        <v/>
      </c>
      <c r="Z82" s="45" t="str">
        <f>IF(Jul!G33=0,"",Jul!G33)</f>
        <v/>
      </c>
      <c r="AA82" s="45" t="str">
        <f>IF(Ago!G33=0,"",Ago!G33)</f>
        <v/>
      </c>
      <c r="AB82" s="45" t="str">
        <f>IF(Set!G33=0,"",Set!G33)</f>
        <v/>
      </c>
      <c r="AC82" s="45" t="str">
        <f>IF(Out!G33=0,"",Out!G33)</f>
        <v/>
      </c>
      <c r="AD82" s="45" t="str">
        <f>IF(Nov!G33=0,"",Nov!G33)</f>
        <v/>
      </c>
      <c r="AE82" s="45" t="str">
        <f>IF(Dez!G33=0,"",Dez!G33)</f>
        <v/>
      </c>
      <c r="AF82" s="42"/>
      <c r="AG82" s="42"/>
      <c r="AH82" s="42"/>
    </row>
    <row r="83" spans="1:34" ht="16" x14ac:dyDescent="0.2">
      <c r="A83" s="42"/>
      <c r="B83" s="42"/>
      <c r="C83" s="42"/>
      <c r="D83" s="42"/>
      <c r="E83" s="42"/>
      <c r="F83" s="42"/>
      <c r="G83" s="141"/>
      <c r="H83" s="141"/>
      <c r="I83" s="141"/>
      <c r="J83" s="42"/>
      <c r="K83" s="141"/>
      <c r="L83" s="141"/>
      <c r="M83" s="141"/>
      <c r="N83" s="141"/>
      <c r="O83" s="42"/>
      <c r="P83" s="42"/>
      <c r="Q83" s="42"/>
      <c r="R83" s="42"/>
      <c r="S83" s="44" t="str">
        <f>IF(Personalização!B35=0,"",Personalização!B35)</f>
        <v/>
      </c>
      <c r="T83" s="45" t="str">
        <f>IF(Jan!G34=0,"",Jan!G34)</f>
        <v/>
      </c>
      <c r="U83" s="45" t="str">
        <f>IF(Fev!G34=0,"",Fev!G34)</f>
        <v/>
      </c>
      <c r="V83" s="45" t="str">
        <f>IF(Mar!G34=0,"",Mar!G34)</f>
        <v/>
      </c>
      <c r="W83" s="45" t="str">
        <f>IF(Abr!G34=0,"",Abr!G34)</f>
        <v/>
      </c>
      <c r="X83" s="45" t="str">
        <f>IF(Mai!G34=0,"",Mai!G34)</f>
        <v/>
      </c>
      <c r="Y83" s="45" t="str">
        <f>IF(Jun!G34=0,"",Jun!G34)</f>
        <v/>
      </c>
      <c r="Z83" s="45" t="str">
        <f>IF(Jul!G34=0,"",Jul!G34)</f>
        <v/>
      </c>
      <c r="AA83" s="45" t="str">
        <f>IF(Ago!G34=0,"",Ago!G34)</f>
        <v/>
      </c>
      <c r="AB83" s="45" t="str">
        <f>IF(Set!G34=0,"",Set!G34)</f>
        <v/>
      </c>
      <c r="AC83" s="45" t="str">
        <f>IF(Out!G34=0,"",Out!G34)</f>
        <v/>
      </c>
      <c r="AD83" s="45" t="str">
        <f>IF(Nov!G34=0,"",Nov!G34)</f>
        <v/>
      </c>
      <c r="AE83" s="45" t="str">
        <f>IF(Dez!G34=0,"",Dez!G34)</f>
        <v/>
      </c>
      <c r="AF83" s="42"/>
      <c r="AG83" s="42"/>
      <c r="AH83" s="42"/>
    </row>
    <row r="84" spans="1:34" ht="16" x14ac:dyDescent="0.2">
      <c r="A84" s="42"/>
      <c r="B84" s="42"/>
      <c r="C84" s="42"/>
      <c r="D84" s="42"/>
      <c r="E84" s="42"/>
      <c r="F84" s="42"/>
      <c r="G84" s="141"/>
      <c r="H84" s="141"/>
      <c r="I84" s="141"/>
      <c r="J84" s="42"/>
      <c r="K84" s="141"/>
      <c r="L84" s="141"/>
      <c r="M84" s="141"/>
      <c r="N84" s="141"/>
      <c r="O84" s="42"/>
      <c r="P84" s="42"/>
      <c r="Q84" s="42"/>
      <c r="R84" s="42"/>
      <c r="S84" s="44" t="str">
        <f>IF(Personalização!B36=0,"",Personalização!B36)</f>
        <v/>
      </c>
      <c r="T84" s="45" t="str">
        <f>IF(Jan!G35=0,"",Jan!G35)</f>
        <v/>
      </c>
      <c r="U84" s="45" t="str">
        <f>IF(Fev!G35=0,"",Fev!G35)</f>
        <v/>
      </c>
      <c r="V84" s="45" t="str">
        <f>IF(Mar!G35=0,"",Mar!G35)</f>
        <v/>
      </c>
      <c r="W84" s="45" t="str">
        <f>IF(Abr!G35=0,"",Abr!G35)</f>
        <v/>
      </c>
      <c r="X84" s="45" t="str">
        <f>IF(Mai!G35=0,"",Mai!G35)</f>
        <v/>
      </c>
      <c r="Y84" s="45" t="str">
        <f>IF(Jun!G35=0,"",Jun!G35)</f>
        <v/>
      </c>
      <c r="Z84" s="45" t="str">
        <f>IF(Jul!G35=0,"",Jul!G35)</f>
        <v/>
      </c>
      <c r="AA84" s="45" t="str">
        <f>IF(Ago!G35=0,"",Ago!G35)</f>
        <v/>
      </c>
      <c r="AB84" s="45" t="str">
        <f>IF(Set!G35=0,"",Set!G35)</f>
        <v/>
      </c>
      <c r="AC84" s="45" t="str">
        <f>IF(Out!G35=0,"",Out!G35)</f>
        <v/>
      </c>
      <c r="AD84" s="45" t="str">
        <f>IF(Nov!G35=0,"",Nov!G35)</f>
        <v/>
      </c>
      <c r="AE84" s="45" t="str">
        <f>IF(Dez!G35=0,"",Dez!G35)</f>
        <v/>
      </c>
      <c r="AF84" s="42"/>
      <c r="AG84" s="42"/>
      <c r="AH84" s="42"/>
    </row>
    <row r="85" spans="1:34" ht="16" x14ac:dyDescent="0.2">
      <c r="A85" s="42"/>
      <c r="B85" s="42"/>
      <c r="C85" s="42"/>
      <c r="D85" s="42"/>
      <c r="E85" s="42"/>
      <c r="F85" s="42"/>
      <c r="G85" s="141"/>
      <c r="H85" s="141"/>
      <c r="I85" s="141"/>
      <c r="J85" s="42"/>
      <c r="K85" s="141"/>
      <c r="L85" s="141"/>
      <c r="M85" s="141"/>
      <c r="N85" s="141"/>
      <c r="O85" s="42"/>
      <c r="P85" s="42"/>
      <c r="Q85" s="42"/>
      <c r="R85" s="42"/>
      <c r="S85" s="44" t="str">
        <f>IF(Personalização!B37=0,"",Personalização!B37)</f>
        <v/>
      </c>
      <c r="T85" s="45" t="str">
        <f>IF(Jan!G36=0,"",Jan!G36)</f>
        <v/>
      </c>
      <c r="U85" s="45" t="str">
        <f>IF(Fev!G36=0,"",Fev!G36)</f>
        <v/>
      </c>
      <c r="V85" s="45" t="str">
        <f>IF(Mar!G36=0,"",Mar!G36)</f>
        <v/>
      </c>
      <c r="W85" s="45" t="str">
        <f>IF(Abr!G36=0,"",Abr!G36)</f>
        <v/>
      </c>
      <c r="X85" s="45" t="str">
        <f>IF(Mai!G36=0,"",Mai!G36)</f>
        <v/>
      </c>
      <c r="Y85" s="45" t="str">
        <f>IF(Jun!G36=0,"",Jun!G36)</f>
        <v/>
      </c>
      <c r="Z85" s="45" t="str">
        <f>IF(Jul!G36=0,"",Jul!G36)</f>
        <v/>
      </c>
      <c r="AA85" s="45" t="str">
        <f>IF(Ago!G36=0,"",Ago!G36)</f>
        <v/>
      </c>
      <c r="AB85" s="45" t="str">
        <f>IF(Set!G36=0,"",Set!G36)</f>
        <v/>
      </c>
      <c r="AC85" s="45" t="str">
        <f>IF(Out!G36=0,"",Out!G36)</f>
        <v/>
      </c>
      <c r="AD85" s="45" t="str">
        <f>IF(Nov!G36=0,"",Nov!G36)</f>
        <v/>
      </c>
      <c r="AE85" s="45" t="str">
        <f>IF(Dez!G36=0,"",Dez!G36)</f>
        <v/>
      </c>
      <c r="AF85" s="42"/>
      <c r="AG85" s="42"/>
      <c r="AH85" s="42"/>
    </row>
    <row r="86" spans="1:34" ht="16" x14ac:dyDescent="0.2">
      <c r="A86" s="42"/>
      <c r="B86" s="42"/>
      <c r="C86" s="42"/>
      <c r="D86" s="42"/>
      <c r="E86" s="42"/>
      <c r="F86" s="42"/>
      <c r="G86" s="141"/>
      <c r="H86" s="141"/>
      <c r="I86" s="141"/>
      <c r="J86" s="42"/>
      <c r="K86" s="141"/>
      <c r="L86" s="141"/>
      <c r="M86" s="141"/>
      <c r="N86" s="141"/>
      <c r="O86" s="42"/>
      <c r="P86" s="42"/>
      <c r="Q86" s="42"/>
      <c r="R86" s="42"/>
      <c r="S86" s="44" t="str">
        <f>IF(Personalização!B38=0,"",Personalização!B38)</f>
        <v/>
      </c>
      <c r="T86" s="45" t="str">
        <f>IF(Jan!G37=0,"",Jan!G37)</f>
        <v/>
      </c>
      <c r="U86" s="45" t="str">
        <f>IF(Fev!G37=0,"",Fev!G37)</f>
        <v/>
      </c>
      <c r="V86" s="45" t="str">
        <f>IF(Mar!G37=0,"",Mar!G37)</f>
        <v/>
      </c>
      <c r="W86" s="45" t="str">
        <f>IF(Abr!G37=0,"",Abr!G37)</f>
        <v/>
      </c>
      <c r="X86" s="45" t="str">
        <f>IF(Mai!G37=0,"",Mai!G37)</f>
        <v/>
      </c>
      <c r="Y86" s="45" t="str">
        <f>IF(Jun!G37=0,"",Jun!G37)</f>
        <v/>
      </c>
      <c r="Z86" s="45" t="str">
        <f>IF(Jul!G37=0,"",Jul!G37)</f>
        <v/>
      </c>
      <c r="AA86" s="45" t="str">
        <f>IF(Ago!G37=0,"",Ago!G37)</f>
        <v/>
      </c>
      <c r="AB86" s="45" t="str">
        <f>IF(Set!G37=0,"",Set!G37)</f>
        <v/>
      </c>
      <c r="AC86" s="45" t="str">
        <f>IF(Out!G37=0,"",Out!G37)</f>
        <v/>
      </c>
      <c r="AD86" s="45" t="str">
        <f>IF(Nov!G37=0,"",Nov!G37)</f>
        <v/>
      </c>
      <c r="AE86" s="45" t="str">
        <f>IF(Dez!G37=0,"",Dez!G37)</f>
        <v/>
      </c>
      <c r="AF86" s="42"/>
      <c r="AG86" s="42"/>
      <c r="AH86" s="42"/>
    </row>
    <row r="87" spans="1:34" ht="16" x14ac:dyDescent="0.2">
      <c r="A87" s="42"/>
      <c r="B87" s="42"/>
      <c r="C87" s="42"/>
      <c r="D87" s="42"/>
      <c r="E87" s="42"/>
      <c r="F87" s="42"/>
      <c r="G87" s="141"/>
      <c r="H87" s="141"/>
      <c r="I87" s="141"/>
      <c r="J87" s="42"/>
      <c r="K87" s="141"/>
      <c r="L87" s="141"/>
      <c r="M87" s="141"/>
      <c r="N87" s="141"/>
      <c r="O87" s="42"/>
      <c r="P87" s="42"/>
      <c r="Q87" s="42"/>
      <c r="R87" s="42"/>
      <c r="S87" s="44" t="str">
        <f>IF(Personalização!B39=0,"",Personalização!B39)</f>
        <v/>
      </c>
      <c r="T87" s="45" t="str">
        <f>IF(Jan!G38=0,"",Jan!G38)</f>
        <v/>
      </c>
      <c r="U87" s="45" t="str">
        <f>IF(Fev!G38=0,"",Fev!G38)</f>
        <v/>
      </c>
      <c r="V87" s="45" t="str">
        <f>IF(Mar!G38=0,"",Mar!G38)</f>
        <v/>
      </c>
      <c r="W87" s="45" t="str">
        <f>IF(Abr!G38=0,"",Abr!G38)</f>
        <v/>
      </c>
      <c r="X87" s="45" t="str">
        <f>IF(Mai!G38=0,"",Mai!G38)</f>
        <v/>
      </c>
      <c r="Y87" s="45" t="str">
        <f>IF(Jun!G38=0,"",Jun!G38)</f>
        <v/>
      </c>
      <c r="Z87" s="45" t="str">
        <f>IF(Jul!G38=0,"",Jul!G38)</f>
        <v/>
      </c>
      <c r="AA87" s="45" t="str">
        <f>IF(Ago!G38=0,"",Ago!G38)</f>
        <v/>
      </c>
      <c r="AB87" s="45" t="str">
        <f>IF(Set!G38=0,"",Set!G38)</f>
        <v/>
      </c>
      <c r="AC87" s="45" t="str">
        <f>IF(Out!G38=0,"",Out!G38)</f>
        <v/>
      </c>
      <c r="AD87" s="45" t="str">
        <f>IF(Nov!G38=0,"",Nov!G38)</f>
        <v/>
      </c>
      <c r="AE87" s="45" t="str">
        <f>IF(Dez!G38=0,"",Dez!G38)</f>
        <v/>
      </c>
      <c r="AF87" s="42"/>
      <c r="AG87" s="42"/>
      <c r="AH87" s="42"/>
    </row>
    <row r="88" spans="1:34" ht="16" x14ac:dyDescent="0.2">
      <c r="A88" s="42"/>
      <c r="B88" s="42"/>
      <c r="C88" s="42"/>
      <c r="D88" s="42"/>
      <c r="E88" s="42"/>
      <c r="F88" s="42"/>
      <c r="G88" s="141"/>
      <c r="H88" s="141"/>
      <c r="I88" s="141"/>
      <c r="J88" s="42"/>
      <c r="K88" s="141"/>
      <c r="L88" s="141"/>
      <c r="M88" s="141"/>
      <c r="N88" s="141"/>
      <c r="O88" s="42"/>
      <c r="P88" s="42"/>
      <c r="Q88" s="42"/>
      <c r="R88" s="42"/>
      <c r="S88" s="44" t="str">
        <f>IF(Personalização!B40=0,"",Personalização!B40)</f>
        <v/>
      </c>
      <c r="T88" s="45" t="str">
        <f>IF(Jan!G39=0,"",Jan!G39)</f>
        <v/>
      </c>
      <c r="U88" s="45" t="str">
        <f>IF(Fev!G39=0,"",Fev!G39)</f>
        <v/>
      </c>
      <c r="V88" s="45" t="str">
        <f>IF(Mar!G39=0,"",Mar!G39)</f>
        <v/>
      </c>
      <c r="W88" s="45" t="str">
        <f>IF(Abr!G39=0,"",Abr!G39)</f>
        <v/>
      </c>
      <c r="X88" s="45" t="str">
        <f>IF(Mai!G39=0,"",Mai!G39)</f>
        <v/>
      </c>
      <c r="Y88" s="45" t="str">
        <f>IF(Jun!G39=0,"",Jun!G39)</f>
        <v/>
      </c>
      <c r="Z88" s="45" t="str">
        <f>IF(Jul!G39=0,"",Jul!G39)</f>
        <v/>
      </c>
      <c r="AA88" s="45" t="str">
        <f>IF(Ago!G39=0,"",Ago!G39)</f>
        <v/>
      </c>
      <c r="AB88" s="45" t="str">
        <f>IF(Set!G39=0,"",Set!G39)</f>
        <v/>
      </c>
      <c r="AC88" s="45" t="str">
        <f>IF(Out!G39=0,"",Out!G39)</f>
        <v/>
      </c>
      <c r="AD88" s="45" t="str">
        <f>IF(Nov!G39=0,"",Nov!G39)</f>
        <v/>
      </c>
      <c r="AE88" s="45" t="str">
        <f>IF(Dez!G39=0,"",Dez!G39)</f>
        <v/>
      </c>
      <c r="AF88" s="42"/>
      <c r="AG88" s="42"/>
      <c r="AH88" s="42"/>
    </row>
    <row r="89" spans="1:34" ht="16" x14ac:dyDescent="0.2">
      <c r="A89" s="42"/>
      <c r="B89" s="42"/>
      <c r="C89" s="42"/>
      <c r="D89" s="42"/>
      <c r="E89" s="42"/>
      <c r="F89" s="42"/>
      <c r="G89" s="141"/>
      <c r="H89" s="141"/>
      <c r="I89" s="141"/>
      <c r="J89" s="42"/>
      <c r="K89" s="141"/>
      <c r="L89" s="141"/>
      <c r="M89" s="141"/>
      <c r="N89" s="141"/>
      <c r="O89" s="42"/>
      <c r="P89" s="42"/>
      <c r="Q89" s="42"/>
      <c r="R89" s="42"/>
      <c r="S89" s="44" t="str">
        <f>IF(Personalização!B41=0,"",Personalização!B41)</f>
        <v/>
      </c>
      <c r="T89" s="45" t="str">
        <f>IF(Jan!G40=0,"",Jan!G40)</f>
        <v/>
      </c>
      <c r="U89" s="45" t="str">
        <f>IF(Fev!G40=0,"",Fev!G40)</f>
        <v/>
      </c>
      <c r="V89" s="45" t="str">
        <f>IF(Mar!G40=0,"",Mar!G40)</f>
        <v/>
      </c>
      <c r="W89" s="45" t="str">
        <f>IF(Abr!G40=0,"",Abr!G40)</f>
        <v/>
      </c>
      <c r="X89" s="45" t="str">
        <f>IF(Mai!G40=0,"",Mai!G40)</f>
        <v/>
      </c>
      <c r="Y89" s="45" t="str">
        <f>IF(Jun!G40=0,"",Jun!G40)</f>
        <v/>
      </c>
      <c r="Z89" s="45" t="str">
        <f>IF(Jul!G40=0,"",Jul!G40)</f>
        <v/>
      </c>
      <c r="AA89" s="45" t="str">
        <f>IF(Ago!G40=0,"",Ago!G40)</f>
        <v/>
      </c>
      <c r="AB89" s="45" t="str">
        <f>IF(Set!G40=0,"",Set!G40)</f>
        <v/>
      </c>
      <c r="AC89" s="45" t="str">
        <f>IF(Out!G40=0,"",Out!G40)</f>
        <v/>
      </c>
      <c r="AD89" s="45" t="str">
        <f>IF(Nov!G40=0,"",Nov!G40)</f>
        <v/>
      </c>
      <c r="AE89" s="45" t="str">
        <f>IF(Dez!G40=0,"",Dez!G40)</f>
        <v/>
      </c>
      <c r="AF89" s="42"/>
      <c r="AG89" s="42"/>
      <c r="AH89" s="42"/>
    </row>
    <row r="90" spans="1:34" ht="16" x14ac:dyDescent="0.2">
      <c r="A90" s="42"/>
      <c r="B90" s="42"/>
      <c r="C90" s="42"/>
      <c r="D90" s="42"/>
      <c r="E90" s="42"/>
      <c r="F90" s="42"/>
      <c r="G90" s="141"/>
      <c r="H90" s="141"/>
      <c r="I90" s="141"/>
      <c r="J90" s="42"/>
      <c r="K90" s="141"/>
      <c r="L90" s="141"/>
      <c r="M90" s="141"/>
      <c r="N90" s="141"/>
      <c r="O90" s="42"/>
      <c r="P90" s="42"/>
      <c r="Q90" s="42"/>
      <c r="R90" s="42"/>
      <c r="S90" s="44" t="str">
        <f>IF(Personalização!B42=0,"",Personalização!B42)</f>
        <v/>
      </c>
      <c r="T90" s="45" t="str">
        <f>IF(Jan!G41=0,"",Jan!G41)</f>
        <v/>
      </c>
      <c r="U90" s="45" t="str">
        <f>IF(Fev!G41=0,"",Fev!G41)</f>
        <v/>
      </c>
      <c r="V90" s="45" t="str">
        <f>IF(Mar!G41=0,"",Mar!G41)</f>
        <v/>
      </c>
      <c r="W90" s="45" t="str">
        <f>IF(Abr!G41=0,"",Abr!G41)</f>
        <v/>
      </c>
      <c r="X90" s="45" t="str">
        <f>IF(Mai!G41=0,"",Mai!G41)</f>
        <v/>
      </c>
      <c r="Y90" s="45" t="str">
        <f>IF(Jun!G41=0,"",Jun!G41)</f>
        <v/>
      </c>
      <c r="Z90" s="45" t="str">
        <f>IF(Jul!G41=0,"",Jul!G41)</f>
        <v/>
      </c>
      <c r="AA90" s="45" t="str">
        <f>IF(Ago!G41=0,"",Ago!G41)</f>
        <v/>
      </c>
      <c r="AB90" s="45" t="str">
        <f>IF(Set!G41=0,"",Set!G41)</f>
        <v/>
      </c>
      <c r="AC90" s="45" t="str">
        <f>IF(Out!G41=0,"",Out!G41)</f>
        <v/>
      </c>
      <c r="AD90" s="45" t="str">
        <f>IF(Nov!G41=0,"",Nov!G41)</f>
        <v/>
      </c>
      <c r="AE90" s="45" t="str">
        <f>IF(Dez!G41=0,"",Dez!G41)</f>
        <v/>
      </c>
      <c r="AF90" s="42"/>
      <c r="AG90" s="42"/>
      <c r="AH90" s="42"/>
    </row>
    <row r="91" spans="1:34" ht="16" x14ac:dyDescent="0.2">
      <c r="A91" s="42"/>
      <c r="B91" s="42"/>
      <c r="C91" s="42"/>
      <c r="D91" s="42"/>
      <c r="E91" s="42"/>
      <c r="F91" s="42"/>
      <c r="G91" s="141"/>
      <c r="H91" s="141"/>
      <c r="I91" s="141"/>
      <c r="J91" s="42"/>
      <c r="K91" s="141"/>
      <c r="L91" s="141"/>
      <c r="M91" s="141"/>
      <c r="N91" s="141"/>
      <c r="O91" s="42"/>
      <c r="P91" s="42"/>
      <c r="Q91" s="42"/>
      <c r="R91" s="42"/>
      <c r="S91" s="44" t="str">
        <f>IF(Personalização!B43=0,"",Personalização!B43)</f>
        <v/>
      </c>
      <c r="T91" s="45" t="str">
        <f>IF(Jan!G42=0,"",Jan!G42)</f>
        <v/>
      </c>
      <c r="U91" s="45" t="str">
        <f>IF(Fev!G42=0,"",Fev!G42)</f>
        <v/>
      </c>
      <c r="V91" s="45" t="str">
        <f>IF(Mar!G42=0,"",Mar!G42)</f>
        <v/>
      </c>
      <c r="W91" s="45" t="str">
        <f>IF(Abr!G42=0,"",Abr!G42)</f>
        <v/>
      </c>
      <c r="X91" s="45" t="str">
        <f>IF(Mai!G42=0,"",Mai!G42)</f>
        <v/>
      </c>
      <c r="Y91" s="45" t="str">
        <f>IF(Jun!G42=0,"",Jun!G42)</f>
        <v/>
      </c>
      <c r="Z91" s="45" t="str">
        <f>IF(Jul!G42=0,"",Jul!G42)</f>
        <v/>
      </c>
      <c r="AA91" s="45" t="str">
        <f>IF(Ago!G42=0,"",Ago!G42)</f>
        <v/>
      </c>
      <c r="AB91" s="45" t="str">
        <f>IF(Set!G42=0,"",Set!G42)</f>
        <v/>
      </c>
      <c r="AC91" s="45" t="str">
        <f>IF(Out!G42=0,"",Out!G42)</f>
        <v/>
      </c>
      <c r="AD91" s="45" t="str">
        <f>IF(Nov!G42=0,"",Nov!G42)</f>
        <v/>
      </c>
      <c r="AE91" s="45" t="str">
        <f>IF(Dez!G42=0,"",Dez!G42)</f>
        <v/>
      </c>
      <c r="AF91" s="42"/>
      <c r="AG91" s="42"/>
      <c r="AH91" s="42"/>
    </row>
    <row r="92" spans="1:34" ht="16" x14ac:dyDescent="0.2">
      <c r="A92" s="42"/>
      <c r="B92" s="42"/>
      <c r="C92" s="42"/>
      <c r="D92" s="42"/>
      <c r="E92" s="42"/>
      <c r="F92" s="42"/>
      <c r="G92" s="141"/>
      <c r="H92" s="141"/>
      <c r="I92" s="141"/>
      <c r="J92" s="42"/>
      <c r="K92" s="141"/>
      <c r="L92" s="141"/>
      <c r="M92" s="141"/>
      <c r="N92" s="141"/>
      <c r="O92" s="42"/>
      <c r="P92" s="42"/>
      <c r="Q92" s="42"/>
      <c r="R92" s="42"/>
      <c r="S92" s="44" t="str">
        <f>IF(Personalização!B44=0,"",Personalização!B44)</f>
        <v/>
      </c>
      <c r="T92" s="45" t="str">
        <f>IF(Jan!G43=0,"",Jan!G43)</f>
        <v/>
      </c>
      <c r="U92" s="45" t="str">
        <f>IF(Fev!G43=0,"",Fev!G43)</f>
        <v/>
      </c>
      <c r="V92" s="45" t="str">
        <f>IF(Mar!G43=0,"",Mar!G43)</f>
        <v/>
      </c>
      <c r="W92" s="45" t="str">
        <f>IF(Abr!G43=0,"",Abr!G43)</f>
        <v/>
      </c>
      <c r="X92" s="45" t="str">
        <f>IF(Mai!G43=0,"",Mai!G43)</f>
        <v/>
      </c>
      <c r="Y92" s="45" t="str">
        <f>IF(Jun!G43=0,"",Jun!G43)</f>
        <v/>
      </c>
      <c r="Z92" s="45" t="str">
        <f>IF(Jul!G43=0,"",Jul!G43)</f>
        <v/>
      </c>
      <c r="AA92" s="45" t="str">
        <f>IF(Ago!G43=0,"",Ago!G43)</f>
        <v/>
      </c>
      <c r="AB92" s="45" t="str">
        <f>IF(Set!G43=0,"",Set!G43)</f>
        <v/>
      </c>
      <c r="AC92" s="45" t="str">
        <f>IF(Out!G43=0,"",Out!G43)</f>
        <v/>
      </c>
      <c r="AD92" s="45" t="str">
        <f>IF(Nov!G43=0,"",Nov!G43)</f>
        <v/>
      </c>
      <c r="AE92" s="45" t="str">
        <f>IF(Dez!G43=0,"",Dez!G43)</f>
        <v/>
      </c>
      <c r="AF92" s="42"/>
      <c r="AG92" s="42"/>
      <c r="AH92" s="42"/>
    </row>
    <row r="93" spans="1:34" ht="16" x14ac:dyDescent="0.2">
      <c r="A93" s="42"/>
      <c r="B93" s="42"/>
      <c r="C93" s="42"/>
      <c r="D93" s="42"/>
      <c r="E93" s="42"/>
      <c r="F93" s="42"/>
      <c r="G93" s="141"/>
      <c r="H93" s="141"/>
      <c r="I93" s="141"/>
      <c r="J93" s="42"/>
      <c r="K93" s="141"/>
      <c r="L93" s="141"/>
      <c r="M93" s="141"/>
      <c r="N93" s="141"/>
      <c r="O93" s="42"/>
      <c r="P93" s="42"/>
      <c r="Q93" s="42"/>
      <c r="R93" s="42"/>
      <c r="S93" s="44" t="str">
        <f>IF(Personalização!B45=0,"",Personalização!B45)</f>
        <v/>
      </c>
      <c r="T93" s="45" t="str">
        <f>IF(Jan!G44=0,"",Jan!G44)</f>
        <v/>
      </c>
      <c r="U93" s="45" t="str">
        <f>IF(Fev!G44=0,"",Fev!G44)</f>
        <v/>
      </c>
      <c r="V93" s="45" t="str">
        <f>IF(Mar!G44=0,"",Mar!G44)</f>
        <v/>
      </c>
      <c r="W93" s="45" t="str">
        <f>IF(Abr!G44=0,"",Abr!G44)</f>
        <v/>
      </c>
      <c r="X93" s="45" t="str">
        <f>IF(Mai!G44=0,"",Mai!G44)</f>
        <v/>
      </c>
      <c r="Y93" s="45" t="str">
        <f>IF(Jun!G44=0,"",Jun!G44)</f>
        <v/>
      </c>
      <c r="Z93" s="45" t="str">
        <f>IF(Jul!G44=0,"",Jul!G44)</f>
        <v/>
      </c>
      <c r="AA93" s="45" t="str">
        <f>IF(Ago!G44=0,"",Ago!G44)</f>
        <v/>
      </c>
      <c r="AB93" s="45" t="str">
        <f>IF(Set!G44=0,"",Set!G44)</f>
        <v/>
      </c>
      <c r="AC93" s="45" t="str">
        <f>IF(Out!G44=0,"",Out!G44)</f>
        <v/>
      </c>
      <c r="AD93" s="45" t="str">
        <f>IF(Nov!G44=0,"",Nov!G44)</f>
        <v/>
      </c>
      <c r="AE93" s="45" t="str">
        <f>IF(Dez!G44=0,"",Dez!G44)</f>
        <v/>
      </c>
      <c r="AF93" s="42"/>
      <c r="AG93" s="42"/>
      <c r="AH93" s="42"/>
    </row>
    <row r="94" spans="1:34" ht="16" x14ac:dyDescent="0.2">
      <c r="A94" s="42"/>
      <c r="B94" s="42"/>
      <c r="C94" s="42"/>
      <c r="D94" s="42"/>
      <c r="E94" s="42"/>
      <c r="F94" s="42"/>
      <c r="G94" s="141"/>
      <c r="H94" s="141"/>
      <c r="I94" s="141"/>
      <c r="J94" s="42"/>
      <c r="K94" s="141"/>
      <c r="L94" s="141"/>
      <c r="M94" s="141"/>
      <c r="N94" s="141"/>
      <c r="O94" s="42"/>
      <c r="P94" s="42"/>
      <c r="Q94" s="42"/>
      <c r="R94" s="42"/>
      <c r="S94" s="44" t="str">
        <f>IF(Personalização!B46=0,"",Personalização!B46)</f>
        <v/>
      </c>
      <c r="T94" s="45" t="str">
        <f>IF(Jan!G45=0,"",Jan!G45)</f>
        <v/>
      </c>
      <c r="U94" s="45" t="str">
        <f>IF(Fev!G45=0,"",Fev!G45)</f>
        <v/>
      </c>
      <c r="V94" s="45" t="str">
        <f>IF(Mar!G45=0,"",Mar!G45)</f>
        <v/>
      </c>
      <c r="W94" s="45" t="str">
        <f>IF(Abr!G45=0,"",Abr!G45)</f>
        <v/>
      </c>
      <c r="X94" s="45" t="str">
        <f>IF(Mai!G45=0,"",Mai!G45)</f>
        <v/>
      </c>
      <c r="Y94" s="45" t="str">
        <f>IF(Jun!G45=0,"",Jun!G45)</f>
        <v/>
      </c>
      <c r="Z94" s="45" t="str">
        <f>IF(Jul!G45=0,"",Jul!G45)</f>
        <v/>
      </c>
      <c r="AA94" s="45" t="str">
        <f>IF(Ago!G45=0,"",Ago!G45)</f>
        <v/>
      </c>
      <c r="AB94" s="45" t="str">
        <f>IF(Set!G45=0,"",Set!G45)</f>
        <v/>
      </c>
      <c r="AC94" s="45" t="str">
        <f>IF(Out!G45=0,"",Out!G45)</f>
        <v/>
      </c>
      <c r="AD94" s="45" t="str">
        <f>IF(Nov!G45=0,"",Nov!G45)</f>
        <v/>
      </c>
      <c r="AE94" s="45" t="str">
        <f>IF(Dez!G45=0,"",Dez!G45)</f>
        <v/>
      </c>
      <c r="AF94" s="42"/>
      <c r="AG94" s="42"/>
      <c r="AH94" s="42"/>
    </row>
    <row r="95" spans="1:34" ht="16" x14ac:dyDescent="0.2">
      <c r="A95" s="42"/>
      <c r="B95" s="42"/>
      <c r="C95" s="42"/>
      <c r="D95" s="42"/>
      <c r="E95" s="42"/>
      <c r="F95" s="42"/>
      <c r="G95" s="141"/>
      <c r="H95" s="141"/>
      <c r="I95" s="141"/>
      <c r="J95" s="42"/>
      <c r="K95" s="141"/>
      <c r="L95" s="141"/>
      <c r="M95" s="141"/>
      <c r="N95" s="141"/>
      <c r="O95" s="42"/>
      <c r="P95" s="42"/>
      <c r="Q95" s="42"/>
      <c r="R95" s="42"/>
      <c r="S95" s="44" t="str">
        <f>IF(Personalização!B47=0,"",Personalização!B47)</f>
        <v/>
      </c>
      <c r="T95" s="45" t="str">
        <f>IF(Jan!G46=0,"",Jan!G46)</f>
        <v/>
      </c>
      <c r="U95" s="45" t="str">
        <f>IF(Fev!G46=0,"",Fev!G46)</f>
        <v/>
      </c>
      <c r="V95" s="45" t="str">
        <f>IF(Mar!G46=0,"",Mar!G46)</f>
        <v/>
      </c>
      <c r="W95" s="45" t="str">
        <f>IF(Abr!G46=0,"",Abr!G46)</f>
        <v/>
      </c>
      <c r="X95" s="45" t="str">
        <f>IF(Mai!G46=0,"",Mai!G46)</f>
        <v/>
      </c>
      <c r="Y95" s="45" t="str">
        <f>IF(Jun!G46=0,"",Jun!G46)</f>
        <v/>
      </c>
      <c r="Z95" s="45" t="str">
        <f>IF(Jul!G46=0,"",Jul!G46)</f>
        <v/>
      </c>
      <c r="AA95" s="45" t="str">
        <f>IF(Ago!G46=0,"",Ago!G46)</f>
        <v/>
      </c>
      <c r="AB95" s="45" t="str">
        <f>IF(Set!G46=0,"",Set!G46)</f>
        <v/>
      </c>
      <c r="AC95" s="45" t="str">
        <f>IF(Out!G46=0,"",Out!G46)</f>
        <v/>
      </c>
      <c r="AD95" s="45" t="str">
        <f>IF(Nov!G46=0,"",Nov!G46)</f>
        <v/>
      </c>
      <c r="AE95" s="45" t="str">
        <f>IF(Dez!G46=0,"",Dez!G46)</f>
        <v/>
      </c>
      <c r="AF95" s="42"/>
      <c r="AG95" s="42"/>
      <c r="AH95" s="42"/>
    </row>
    <row r="96" spans="1:34" ht="16" x14ac:dyDescent="0.2">
      <c r="A96" s="42"/>
      <c r="B96" s="42"/>
      <c r="C96" s="42"/>
      <c r="D96" s="42"/>
      <c r="E96" s="42"/>
      <c r="F96" s="42"/>
      <c r="G96" s="141"/>
      <c r="H96" s="141"/>
      <c r="I96" s="141"/>
      <c r="J96" s="42"/>
      <c r="K96" s="141"/>
      <c r="L96" s="141"/>
      <c r="M96" s="141"/>
      <c r="N96" s="141"/>
      <c r="O96" s="42"/>
      <c r="P96" s="42"/>
      <c r="Q96" s="42"/>
      <c r="R96" s="42"/>
      <c r="S96" s="44" t="str">
        <f>IF(Personalização!B48=0,"",Personalização!B48)</f>
        <v/>
      </c>
      <c r="T96" s="45" t="str">
        <f>IF(Jan!G47=0,"",Jan!G47)</f>
        <v/>
      </c>
      <c r="U96" s="45" t="str">
        <f>IF(Fev!G47=0,"",Fev!G47)</f>
        <v/>
      </c>
      <c r="V96" s="45" t="str">
        <f>IF(Mar!G47=0,"",Mar!G47)</f>
        <v/>
      </c>
      <c r="W96" s="45" t="str">
        <f>IF(Abr!G47=0,"",Abr!G47)</f>
        <v/>
      </c>
      <c r="X96" s="45" t="str">
        <f>IF(Mai!G47=0,"",Mai!G47)</f>
        <v/>
      </c>
      <c r="Y96" s="45" t="str">
        <f>IF(Jun!G47=0,"",Jun!G47)</f>
        <v/>
      </c>
      <c r="Z96" s="45" t="str">
        <f>IF(Jul!G47=0,"",Jul!G47)</f>
        <v/>
      </c>
      <c r="AA96" s="45" t="str">
        <f>IF(Ago!G47=0,"",Ago!G47)</f>
        <v/>
      </c>
      <c r="AB96" s="45" t="str">
        <f>IF(Set!G47=0,"",Set!G47)</f>
        <v/>
      </c>
      <c r="AC96" s="45" t="str">
        <f>IF(Out!G47=0,"",Out!G47)</f>
        <v/>
      </c>
      <c r="AD96" s="45" t="str">
        <f>IF(Nov!G47=0,"",Nov!G47)</f>
        <v/>
      </c>
      <c r="AE96" s="45" t="str">
        <f>IF(Dez!G47=0,"",Dez!G47)</f>
        <v/>
      </c>
      <c r="AF96" s="42"/>
      <c r="AG96" s="42"/>
      <c r="AH96" s="42"/>
    </row>
    <row r="97" spans="1:34" ht="16" x14ac:dyDescent="0.2">
      <c r="A97" s="42"/>
      <c r="B97" s="42"/>
      <c r="C97" s="42"/>
      <c r="D97" s="42"/>
      <c r="E97" s="42"/>
      <c r="F97" s="42"/>
      <c r="G97" s="141"/>
      <c r="H97" s="141"/>
      <c r="I97" s="141"/>
      <c r="J97" s="42"/>
      <c r="K97" s="141"/>
      <c r="L97" s="141"/>
      <c r="M97" s="141"/>
      <c r="N97" s="141"/>
      <c r="O97" s="42"/>
      <c r="P97" s="42"/>
      <c r="Q97" s="42"/>
      <c r="R97" s="42"/>
      <c r="S97" s="44" t="str">
        <f>IF(Personalização!B49=0,"",Personalização!B49)</f>
        <v/>
      </c>
      <c r="T97" s="45" t="str">
        <f>IF(Jan!G48=0,"",Jan!G48)</f>
        <v/>
      </c>
      <c r="U97" s="45" t="str">
        <f>IF(Fev!G48=0,"",Fev!G48)</f>
        <v/>
      </c>
      <c r="V97" s="45" t="str">
        <f>IF(Mar!G48=0,"",Mar!G48)</f>
        <v/>
      </c>
      <c r="W97" s="45" t="str">
        <f>IF(Abr!G48=0,"",Abr!G48)</f>
        <v/>
      </c>
      <c r="X97" s="45" t="str">
        <f>IF(Mai!G48=0,"",Mai!G48)</f>
        <v/>
      </c>
      <c r="Y97" s="45" t="str">
        <f>IF(Jun!G48=0,"",Jun!G48)</f>
        <v/>
      </c>
      <c r="Z97" s="45" t="str">
        <f>IF(Jul!G48=0,"",Jul!G48)</f>
        <v/>
      </c>
      <c r="AA97" s="45" t="str">
        <f>IF(Ago!G48=0,"",Ago!G48)</f>
        <v/>
      </c>
      <c r="AB97" s="45" t="str">
        <f>IF(Set!G48=0,"",Set!G48)</f>
        <v/>
      </c>
      <c r="AC97" s="45" t="str">
        <f>IF(Out!G48=0,"",Out!G48)</f>
        <v/>
      </c>
      <c r="AD97" s="45" t="str">
        <f>IF(Nov!G48=0,"",Nov!G48)</f>
        <v/>
      </c>
      <c r="AE97" s="45" t="str">
        <f>IF(Dez!G48=0,"",Dez!G48)</f>
        <v/>
      </c>
      <c r="AF97" s="42"/>
      <c r="AG97" s="42"/>
      <c r="AH97" s="42"/>
    </row>
    <row r="98" spans="1:34" ht="16" x14ac:dyDescent="0.2">
      <c r="A98" s="42"/>
      <c r="B98" s="42"/>
      <c r="C98" s="42"/>
      <c r="D98" s="42"/>
      <c r="E98" s="42"/>
      <c r="F98" s="42"/>
      <c r="G98" s="141"/>
      <c r="H98" s="141"/>
      <c r="I98" s="141"/>
      <c r="J98" s="42"/>
      <c r="K98" s="141"/>
      <c r="L98" s="141"/>
      <c r="M98" s="141"/>
      <c r="N98" s="141"/>
      <c r="O98" s="42"/>
      <c r="P98" s="42"/>
      <c r="Q98" s="42"/>
      <c r="R98" s="42"/>
      <c r="S98" s="44" t="str">
        <f>IF(Personalização!B50=0,"",Personalização!B50)</f>
        <v/>
      </c>
      <c r="T98" s="45" t="str">
        <f>IF(Jan!G49=0,"",Jan!G49)</f>
        <v/>
      </c>
      <c r="U98" s="45" t="str">
        <f>IF(Fev!G49=0,"",Fev!G49)</f>
        <v/>
      </c>
      <c r="V98" s="45" t="str">
        <f>IF(Mar!G49=0,"",Mar!G49)</f>
        <v/>
      </c>
      <c r="W98" s="45" t="str">
        <f>IF(Abr!G49=0,"",Abr!G49)</f>
        <v/>
      </c>
      <c r="X98" s="45" t="str">
        <f>IF(Mai!G49=0,"",Mai!G49)</f>
        <v/>
      </c>
      <c r="Y98" s="45" t="str">
        <f>IF(Jun!G49=0,"",Jun!G49)</f>
        <v/>
      </c>
      <c r="Z98" s="45" t="str">
        <f>IF(Jul!G49=0,"",Jul!G49)</f>
        <v/>
      </c>
      <c r="AA98" s="45" t="str">
        <f>IF(Ago!G49=0,"",Ago!G49)</f>
        <v/>
      </c>
      <c r="AB98" s="45" t="str">
        <f>IF(Set!G49=0,"",Set!G49)</f>
        <v/>
      </c>
      <c r="AC98" s="45" t="str">
        <f>IF(Out!G49=0,"",Out!G49)</f>
        <v/>
      </c>
      <c r="AD98" s="45" t="str">
        <f>IF(Nov!G49=0,"",Nov!G49)</f>
        <v/>
      </c>
      <c r="AE98" s="45" t="str">
        <f>IF(Dez!G49=0,"",Dez!G49)</f>
        <v/>
      </c>
      <c r="AF98" s="42"/>
      <c r="AG98" s="42"/>
      <c r="AH98" s="42"/>
    </row>
    <row r="99" spans="1:34" ht="16" x14ac:dyDescent="0.2">
      <c r="A99" s="42"/>
      <c r="B99" s="42"/>
      <c r="C99" s="42"/>
      <c r="D99" s="42"/>
      <c r="E99" s="42"/>
      <c r="F99" s="42"/>
      <c r="G99" s="141"/>
      <c r="H99" s="141"/>
      <c r="I99" s="141"/>
      <c r="J99" s="42"/>
      <c r="K99" s="141"/>
      <c r="L99" s="141"/>
      <c r="M99" s="141"/>
      <c r="N99" s="141"/>
      <c r="O99" s="42"/>
      <c r="P99" s="42"/>
      <c r="Q99" s="42"/>
      <c r="R99" s="42"/>
      <c r="S99" s="44" t="str">
        <f>IF(Personalização!B51=0,"",Personalização!B51)</f>
        <v/>
      </c>
      <c r="T99" s="45" t="str">
        <f>IF(Jan!G50=0,"",Jan!G50)</f>
        <v/>
      </c>
      <c r="U99" s="45" t="str">
        <f>IF(Fev!G50=0,"",Fev!G50)</f>
        <v/>
      </c>
      <c r="V99" s="45" t="str">
        <f>IF(Mar!G50=0,"",Mar!G50)</f>
        <v/>
      </c>
      <c r="W99" s="45" t="str">
        <f>IF(Abr!G50=0,"",Abr!G50)</f>
        <v/>
      </c>
      <c r="X99" s="45" t="str">
        <f>IF(Mai!G50=0,"",Mai!G50)</f>
        <v/>
      </c>
      <c r="Y99" s="45" t="str">
        <f>IF(Jun!G50=0,"",Jun!G50)</f>
        <v/>
      </c>
      <c r="Z99" s="45" t="str">
        <f>IF(Jul!G50=0,"",Jul!G50)</f>
        <v/>
      </c>
      <c r="AA99" s="45" t="str">
        <f>IF(Ago!G50=0,"",Ago!G50)</f>
        <v/>
      </c>
      <c r="AB99" s="45" t="str">
        <f>IF(Set!G50=0,"",Set!G50)</f>
        <v/>
      </c>
      <c r="AC99" s="45" t="str">
        <f>IF(Out!G50=0,"",Out!G50)</f>
        <v/>
      </c>
      <c r="AD99" s="45" t="str">
        <f>IF(Nov!G50=0,"",Nov!G50)</f>
        <v/>
      </c>
      <c r="AE99" s="45" t="str">
        <f>IF(Dez!G50=0,"",Dez!G50)</f>
        <v/>
      </c>
      <c r="AF99" s="42"/>
      <c r="AG99" s="42"/>
      <c r="AH99" s="42"/>
    </row>
    <row r="100" spans="1:34" ht="16" x14ac:dyDescent="0.2">
      <c r="A100" s="42"/>
      <c r="B100" s="42"/>
      <c r="C100" s="42"/>
      <c r="D100" s="42"/>
      <c r="E100" s="42"/>
      <c r="F100" s="42"/>
      <c r="G100" s="141"/>
      <c r="H100" s="141"/>
      <c r="I100" s="141"/>
      <c r="J100" s="42"/>
      <c r="K100" s="141"/>
      <c r="L100" s="141"/>
      <c r="M100" s="141"/>
      <c r="N100" s="141"/>
      <c r="O100" s="42"/>
      <c r="P100" s="42"/>
      <c r="Q100" s="42"/>
      <c r="R100" s="42"/>
      <c r="S100" s="44" t="str">
        <f>IF(Personalização!B52=0,"",Personalização!B52)</f>
        <v/>
      </c>
      <c r="T100" s="45" t="str">
        <f>IF(Jan!G51=0,"",Jan!G51)</f>
        <v/>
      </c>
      <c r="U100" s="45" t="str">
        <f>IF(Fev!G51=0,"",Fev!G51)</f>
        <v/>
      </c>
      <c r="V100" s="45" t="str">
        <f>IF(Mar!G51=0,"",Mar!G51)</f>
        <v/>
      </c>
      <c r="W100" s="45" t="str">
        <f>IF(Abr!G51=0,"",Abr!G51)</f>
        <v/>
      </c>
      <c r="X100" s="45" t="str">
        <f>IF(Mai!G51=0,"",Mai!G51)</f>
        <v/>
      </c>
      <c r="Y100" s="45" t="str">
        <f>IF(Jun!G51=0,"",Jun!G51)</f>
        <v/>
      </c>
      <c r="Z100" s="45" t="str">
        <f>IF(Jul!G51=0,"",Jul!G51)</f>
        <v/>
      </c>
      <c r="AA100" s="45" t="str">
        <f>IF(Ago!G51=0,"",Ago!G51)</f>
        <v/>
      </c>
      <c r="AB100" s="45" t="str">
        <f>IF(Set!G51=0,"",Set!G51)</f>
        <v/>
      </c>
      <c r="AC100" s="45" t="str">
        <f>IF(Out!G51=0,"",Out!G51)</f>
        <v/>
      </c>
      <c r="AD100" s="45" t="str">
        <f>IF(Nov!G51=0,"",Nov!G51)</f>
        <v/>
      </c>
      <c r="AE100" s="45" t="str">
        <f>IF(Dez!G51=0,"",Dez!G51)</f>
        <v/>
      </c>
      <c r="AF100" s="42"/>
      <c r="AG100" s="42"/>
      <c r="AH100" s="42"/>
    </row>
    <row r="101" spans="1:34" ht="16" x14ac:dyDescent="0.2">
      <c r="A101" s="42"/>
      <c r="B101" s="42"/>
      <c r="C101" s="42"/>
      <c r="D101" s="42"/>
      <c r="E101" s="42"/>
      <c r="F101" s="42"/>
      <c r="G101" s="141"/>
      <c r="H101" s="141"/>
      <c r="I101" s="141"/>
      <c r="J101" s="42"/>
      <c r="K101" s="141"/>
      <c r="L101" s="141"/>
      <c r="M101" s="141"/>
      <c r="N101" s="141"/>
      <c r="O101" s="42"/>
      <c r="P101" s="42"/>
      <c r="Q101" s="42"/>
      <c r="R101" s="42"/>
      <c r="S101" s="44" t="str">
        <f>IF(Personalização!B53=0,"",Personalização!B53)</f>
        <v/>
      </c>
      <c r="T101" s="45" t="str">
        <f>IF(Jan!G52=0,"",Jan!G52)</f>
        <v/>
      </c>
      <c r="U101" s="45" t="str">
        <f>IF(Fev!G52=0,"",Fev!G52)</f>
        <v/>
      </c>
      <c r="V101" s="45" t="str">
        <f>IF(Mar!G52=0,"",Mar!G52)</f>
        <v/>
      </c>
      <c r="W101" s="45" t="str">
        <f>IF(Abr!G52=0,"",Abr!G52)</f>
        <v/>
      </c>
      <c r="X101" s="45" t="str">
        <f>IF(Mai!G52=0,"",Mai!G52)</f>
        <v/>
      </c>
      <c r="Y101" s="45" t="str">
        <f>IF(Jun!G52=0,"",Jun!G52)</f>
        <v/>
      </c>
      <c r="Z101" s="45" t="str">
        <f>IF(Jul!G52=0,"",Jul!G52)</f>
        <v/>
      </c>
      <c r="AA101" s="45" t="str">
        <f>IF(Ago!G52=0,"",Ago!G52)</f>
        <v/>
      </c>
      <c r="AB101" s="45" t="str">
        <f>IF(Set!G52=0,"",Set!G52)</f>
        <v/>
      </c>
      <c r="AC101" s="45" t="str">
        <f>IF(Out!G52=0,"",Out!G52)</f>
        <v/>
      </c>
      <c r="AD101" s="45" t="str">
        <f>IF(Nov!G52=0,"",Nov!G52)</f>
        <v/>
      </c>
      <c r="AE101" s="45" t="str">
        <f>IF(Dez!G52=0,"",Dez!G52)</f>
        <v/>
      </c>
      <c r="AF101" s="42"/>
      <c r="AG101" s="42"/>
      <c r="AH101" s="42"/>
    </row>
    <row r="102" spans="1:34" ht="16" x14ac:dyDescent="0.2">
      <c r="A102" s="42"/>
      <c r="B102" s="42"/>
      <c r="C102" s="42"/>
      <c r="D102" s="42"/>
      <c r="E102" s="42"/>
      <c r="F102" s="42"/>
      <c r="G102" s="141"/>
      <c r="H102" s="141"/>
      <c r="I102" s="141"/>
      <c r="J102" s="42"/>
      <c r="K102" s="141"/>
      <c r="L102" s="141"/>
      <c r="M102" s="141"/>
      <c r="N102" s="141"/>
      <c r="O102" s="42"/>
      <c r="P102" s="42"/>
      <c r="Q102" s="42"/>
      <c r="R102" s="42"/>
      <c r="S102" s="44" t="str">
        <f>IF(Personalização!B54=0,"",Personalização!B54)</f>
        <v/>
      </c>
      <c r="T102" s="45" t="str">
        <f>IF(Jan!G53=0,"",Jan!G53)</f>
        <v/>
      </c>
      <c r="U102" s="45" t="str">
        <f>IF(Fev!G53=0,"",Fev!G53)</f>
        <v/>
      </c>
      <c r="V102" s="45" t="str">
        <f>IF(Mar!G53=0,"",Mar!G53)</f>
        <v/>
      </c>
      <c r="W102" s="45" t="str">
        <f>IF(Abr!G53=0,"",Abr!G53)</f>
        <v/>
      </c>
      <c r="X102" s="45" t="str">
        <f>IF(Mai!G53=0,"",Mai!G53)</f>
        <v/>
      </c>
      <c r="Y102" s="45" t="str">
        <f>IF(Jun!G53=0,"",Jun!G53)</f>
        <v/>
      </c>
      <c r="Z102" s="45" t="str">
        <f>IF(Jul!G53=0,"",Jul!G53)</f>
        <v/>
      </c>
      <c r="AA102" s="45" t="str">
        <f>IF(Ago!G53=0,"",Ago!G53)</f>
        <v/>
      </c>
      <c r="AB102" s="45" t="str">
        <f>IF(Set!G53=0,"",Set!G53)</f>
        <v/>
      </c>
      <c r="AC102" s="45" t="str">
        <f>IF(Out!G53=0,"",Out!G53)</f>
        <v/>
      </c>
      <c r="AD102" s="45" t="str">
        <f>IF(Nov!G53=0,"",Nov!G53)</f>
        <v/>
      </c>
      <c r="AE102" s="45" t="str">
        <f>IF(Dez!G53=0,"",Dez!G53)</f>
        <v/>
      </c>
      <c r="AF102" s="42"/>
      <c r="AG102" s="42"/>
      <c r="AH102" s="42"/>
    </row>
    <row r="103" spans="1:34" ht="16" x14ac:dyDescent="0.2">
      <c r="A103" s="42"/>
      <c r="B103" s="42"/>
      <c r="C103" s="42"/>
      <c r="D103" s="42"/>
      <c r="E103" s="42"/>
      <c r="F103" s="42"/>
      <c r="G103" s="141"/>
      <c r="H103" s="141"/>
      <c r="I103" s="141"/>
      <c r="J103" s="42"/>
      <c r="K103" s="141"/>
      <c r="L103" s="141"/>
      <c r="M103" s="141"/>
      <c r="N103" s="141"/>
      <c r="O103" s="42"/>
      <c r="P103" s="42"/>
      <c r="Q103" s="42"/>
      <c r="R103" s="42"/>
      <c r="S103" s="44" t="str">
        <f>IF(Personalização!B55=0,"",Personalização!B55)</f>
        <v/>
      </c>
      <c r="T103" s="45" t="str">
        <f>IF(Jan!G54=0,"",Jan!G54)</f>
        <v/>
      </c>
      <c r="U103" s="45" t="str">
        <f>IF(Fev!G54=0,"",Fev!G54)</f>
        <v/>
      </c>
      <c r="V103" s="45" t="str">
        <f>IF(Mar!G54=0,"",Mar!G54)</f>
        <v/>
      </c>
      <c r="W103" s="45" t="str">
        <f>IF(Abr!G54=0,"",Abr!G54)</f>
        <v/>
      </c>
      <c r="X103" s="45" t="str">
        <f>IF(Mai!G54=0,"",Mai!G54)</f>
        <v/>
      </c>
      <c r="Y103" s="45" t="str">
        <f>IF(Jun!G54=0,"",Jun!G54)</f>
        <v/>
      </c>
      <c r="Z103" s="45" t="str">
        <f>IF(Jul!G54=0,"",Jul!G54)</f>
        <v/>
      </c>
      <c r="AA103" s="45" t="str">
        <f>IF(Ago!G54=0,"",Ago!G54)</f>
        <v/>
      </c>
      <c r="AB103" s="45" t="str">
        <f>IF(Set!G54=0,"",Set!G54)</f>
        <v/>
      </c>
      <c r="AC103" s="45" t="str">
        <f>IF(Out!G54=0,"",Out!G54)</f>
        <v/>
      </c>
      <c r="AD103" s="45" t="str">
        <f>IF(Nov!G54=0,"",Nov!G54)</f>
        <v/>
      </c>
      <c r="AE103" s="45" t="str">
        <f>IF(Dez!G54=0,"",Dez!G54)</f>
        <v/>
      </c>
      <c r="AF103" s="42"/>
      <c r="AG103" s="42"/>
      <c r="AH103" s="42"/>
    </row>
    <row r="104" spans="1:34" ht="16" x14ac:dyDescent="0.2">
      <c r="A104" s="42"/>
      <c r="B104" s="42"/>
      <c r="C104" s="42"/>
      <c r="D104" s="42"/>
      <c r="E104" s="42"/>
      <c r="F104" s="42"/>
      <c r="G104" s="42"/>
      <c r="H104" s="42"/>
      <c r="I104" s="42"/>
      <c r="J104" s="42"/>
      <c r="K104" s="141"/>
      <c r="L104" s="141"/>
      <c r="M104" s="141"/>
      <c r="N104" s="141"/>
      <c r="O104" s="42"/>
      <c r="P104" s="42"/>
      <c r="Q104" s="42"/>
      <c r="R104" s="42"/>
      <c r="S104" s="44" t="str">
        <f>IF(Personalização!B56=0,"",Personalização!B56)</f>
        <v/>
      </c>
      <c r="T104" s="45" t="str">
        <f>IF(Jan!G55=0,"",Jan!G55)</f>
        <v/>
      </c>
      <c r="U104" s="45" t="str">
        <f>IF(Fev!G55=0,"",Fev!G55)</f>
        <v/>
      </c>
      <c r="V104" s="45" t="str">
        <f>IF(Mar!G55=0,"",Mar!G55)</f>
        <v/>
      </c>
      <c r="W104" s="45" t="str">
        <f>IF(Abr!G55=0,"",Abr!G55)</f>
        <v/>
      </c>
      <c r="X104" s="45" t="str">
        <f>IF(Mai!G55=0,"",Mai!G55)</f>
        <v/>
      </c>
      <c r="Y104" s="45" t="str">
        <f>IF(Jun!G55=0,"",Jun!G55)</f>
        <v/>
      </c>
      <c r="Z104" s="45" t="str">
        <f>IF(Jul!G55=0,"",Jul!G55)</f>
        <v/>
      </c>
      <c r="AA104" s="45" t="str">
        <f>IF(Ago!G55=0,"",Ago!G55)</f>
        <v/>
      </c>
      <c r="AB104" s="45" t="str">
        <f>IF(Set!G55=0,"",Set!G55)</f>
        <v/>
      </c>
      <c r="AC104" s="45" t="str">
        <f>IF(Out!G55=0,"",Out!G55)</f>
        <v/>
      </c>
      <c r="AD104" s="45" t="str">
        <f>IF(Nov!G55=0,"",Nov!G55)</f>
        <v/>
      </c>
      <c r="AE104" s="45" t="str">
        <f>IF(Dez!G55=0,"",Dez!G55)</f>
        <v/>
      </c>
      <c r="AF104" s="42"/>
      <c r="AG104" s="42"/>
      <c r="AH104" s="42"/>
    </row>
    <row r="105" spans="1:34" ht="16" x14ac:dyDescent="0.2">
      <c r="A105" s="42"/>
      <c r="B105" s="42"/>
      <c r="C105" s="42"/>
      <c r="D105" s="42"/>
      <c r="E105" s="42"/>
      <c r="F105" s="42"/>
      <c r="G105" s="42"/>
      <c r="H105" s="42"/>
      <c r="I105" s="42"/>
      <c r="J105" s="42"/>
      <c r="K105" s="141"/>
      <c r="L105" s="141"/>
      <c r="M105" s="141"/>
      <c r="N105" s="141"/>
      <c r="O105" s="42"/>
      <c r="P105" s="42"/>
      <c r="Q105" s="42"/>
      <c r="R105" s="42"/>
      <c r="S105" s="44" t="str">
        <f>IF(Personalização!B57=0,"",Personalização!B57)</f>
        <v/>
      </c>
      <c r="T105" s="45" t="str">
        <f>IF(Jan!G56=0,"",Jan!G56)</f>
        <v/>
      </c>
      <c r="U105" s="45" t="str">
        <f>IF(Fev!G56=0,"",Fev!G56)</f>
        <v/>
      </c>
      <c r="V105" s="45" t="str">
        <f>IF(Mar!G56=0,"",Mar!G56)</f>
        <v/>
      </c>
      <c r="W105" s="45" t="str">
        <f>IF(Abr!G56=0,"",Abr!G56)</f>
        <v/>
      </c>
      <c r="X105" s="45" t="str">
        <f>IF(Mai!G56=0,"",Mai!G56)</f>
        <v/>
      </c>
      <c r="Y105" s="45" t="str">
        <f>IF(Jun!G56=0,"",Jun!G56)</f>
        <v/>
      </c>
      <c r="Z105" s="45" t="str">
        <f>IF(Jul!G56=0,"",Jul!G56)</f>
        <v/>
      </c>
      <c r="AA105" s="45" t="str">
        <f>IF(Ago!G56=0,"",Ago!G56)</f>
        <v/>
      </c>
      <c r="AB105" s="45" t="str">
        <f>IF(Set!G56=0,"",Set!G56)</f>
        <v/>
      </c>
      <c r="AC105" s="45" t="str">
        <f>IF(Out!G56=0,"",Out!G56)</f>
        <v/>
      </c>
      <c r="AD105" s="45" t="str">
        <f>IF(Nov!G56=0,"",Nov!G56)</f>
        <v/>
      </c>
      <c r="AE105" s="45" t="str">
        <f>IF(Dez!G56=0,"",Dez!G56)</f>
        <v/>
      </c>
      <c r="AF105" s="42"/>
      <c r="AG105" s="42"/>
      <c r="AH105" s="42"/>
    </row>
    <row r="106" spans="1:34" ht="16" x14ac:dyDescent="0.2">
      <c r="A106" s="42"/>
      <c r="B106" s="42"/>
      <c r="C106" s="42"/>
      <c r="D106" s="42"/>
      <c r="E106" s="42"/>
      <c r="F106" s="42"/>
      <c r="G106" s="42"/>
      <c r="H106" s="42"/>
      <c r="I106" s="42"/>
      <c r="J106" s="42"/>
      <c r="K106" s="141"/>
      <c r="L106" s="141"/>
      <c r="M106" s="141"/>
      <c r="N106" s="141"/>
      <c r="O106" s="42"/>
      <c r="P106" s="42"/>
      <c r="Q106" s="42"/>
      <c r="R106" s="42"/>
      <c r="S106" s="44" t="str">
        <f>IF(Personalização!B58=0,"",Personalização!B58)</f>
        <v/>
      </c>
      <c r="T106" s="45" t="str">
        <f>IF(Jan!G57=0,"",Jan!G57)</f>
        <v/>
      </c>
      <c r="U106" s="45" t="str">
        <f>IF(Fev!G57=0,"",Fev!G57)</f>
        <v/>
      </c>
      <c r="V106" s="45" t="str">
        <f>IF(Mar!G57=0,"",Mar!G57)</f>
        <v/>
      </c>
      <c r="W106" s="45" t="str">
        <f>IF(Abr!G57=0,"",Abr!G57)</f>
        <v/>
      </c>
      <c r="X106" s="45" t="str">
        <f>IF(Mai!G57=0,"",Mai!G57)</f>
        <v/>
      </c>
      <c r="Y106" s="45" t="str">
        <f>IF(Jun!G57=0,"",Jun!G57)</f>
        <v/>
      </c>
      <c r="Z106" s="45" t="str">
        <f>IF(Jul!G57=0,"",Jul!G57)</f>
        <v/>
      </c>
      <c r="AA106" s="45" t="str">
        <f>IF(Ago!G57=0,"",Ago!G57)</f>
        <v/>
      </c>
      <c r="AB106" s="45" t="str">
        <f>IF(Set!G57=0,"",Set!G57)</f>
        <v/>
      </c>
      <c r="AC106" s="45" t="str">
        <f>IF(Out!G57=0,"",Out!G57)</f>
        <v/>
      </c>
      <c r="AD106" s="45" t="str">
        <f>IF(Nov!G57=0,"",Nov!G57)</f>
        <v/>
      </c>
      <c r="AE106" s="45" t="str">
        <f>IF(Dez!G57=0,"",Dez!G57)</f>
        <v/>
      </c>
      <c r="AF106" s="42"/>
      <c r="AG106" s="42"/>
      <c r="AH106" s="42"/>
    </row>
    <row r="107" spans="1:34" ht="16" x14ac:dyDescent="0.2">
      <c r="A107" s="42"/>
      <c r="B107" s="42"/>
      <c r="C107" s="42"/>
      <c r="D107" s="42"/>
      <c r="E107" s="42"/>
      <c r="F107" s="42"/>
      <c r="G107" s="42"/>
      <c r="H107" s="42"/>
      <c r="I107" s="42"/>
      <c r="J107" s="42"/>
      <c r="K107" s="141"/>
      <c r="L107" s="141"/>
      <c r="M107" s="141"/>
      <c r="N107" s="141"/>
      <c r="O107" s="42"/>
      <c r="P107" s="42"/>
      <c r="Q107" s="42"/>
      <c r="R107" s="42"/>
      <c r="S107" s="44" t="str">
        <f>IF(Personalização!B59=0,"",Personalização!B59)</f>
        <v/>
      </c>
      <c r="T107" s="45" t="str">
        <f>IF(Jan!G58=0,"",Jan!G58)</f>
        <v/>
      </c>
      <c r="U107" s="45" t="str">
        <f>IF(Fev!G58=0,"",Fev!G58)</f>
        <v/>
      </c>
      <c r="V107" s="45" t="str">
        <f>IF(Mar!G58=0,"",Mar!G58)</f>
        <v/>
      </c>
      <c r="W107" s="45" t="str">
        <f>IF(Abr!G58=0,"",Abr!G58)</f>
        <v/>
      </c>
      <c r="X107" s="45" t="str">
        <f>IF(Mai!G58=0,"",Mai!G58)</f>
        <v/>
      </c>
      <c r="Y107" s="45" t="str">
        <f>IF(Jun!G58=0,"",Jun!G58)</f>
        <v/>
      </c>
      <c r="Z107" s="45" t="str">
        <f>IF(Jul!G58=0,"",Jul!G58)</f>
        <v/>
      </c>
      <c r="AA107" s="45" t="str">
        <f>IF(Ago!G58=0,"",Ago!G58)</f>
        <v/>
      </c>
      <c r="AB107" s="45" t="str">
        <f>IF(Set!G58=0,"",Set!G58)</f>
        <v/>
      </c>
      <c r="AC107" s="45" t="str">
        <f>IF(Out!G58=0,"",Out!G58)</f>
        <v/>
      </c>
      <c r="AD107" s="45" t="str">
        <f>IF(Nov!G58=0,"",Nov!G58)</f>
        <v/>
      </c>
      <c r="AE107" s="45" t="str">
        <f>IF(Dez!G58=0,"",Dez!G58)</f>
        <v/>
      </c>
      <c r="AF107" s="42"/>
      <c r="AG107" s="42"/>
      <c r="AH107" s="42"/>
    </row>
    <row r="108" spans="1:34" ht="16" x14ac:dyDescent="0.2">
      <c r="A108" s="42"/>
      <c r="B108" s="42"/>
      <c r="C108" s="42"/>
      <c r="D108" s="42"/>
      <c r="E108" s="42"/>
      <c r="F108" s="42"/>
      <c r="G108" s="42"/>
      <c r="H108" s="42"/>
      <c r="I108" s="42"/>
      <c r="J108" s="42"/>
      <c r="K108" s="141"/>
      <c r="L108" s="141"/>
      <c r="M108" s="141"/>
      <c r="N108" s="141"/>
      <c r="O108" s="42"/>
      <c r="P108" s="42"/>
      <c r="Q108" s="42"/>
      <c r="R108" s="42"/>
      <c r="S108" s="44" t="str">
        <f>IF(Personalização!B60=0,"",Personalização!B60)</f>
        <v/>
      </c>
      <c r="T108" s="45" t="str">
        <f>IF(Jan!G59=0,"",Jan!G59)</f>
        <v/>
      </c>
      <c r="U108" s="45" t="str">
        <f>IF(Fev!G59=0,"",Fev!G59)</f>
        <v/>
      </c>
      <c r="V108" s="45" t="str">
        <f>IF(Mar!G59=0,"",Mar!G59)</f>
        <v/>
      </c>
      <c r="W108" s="45" t="str">
        <f>IF(Abr!G59=0,"",Abr!G59)</f>
        <v/>
      </c>
      <c r="X108" s="45" t="str">
        <f>IF(Mai!G59=0,"",Mai!G59)</f>
        <v/>
      </c>
      <c r="Y108" s="45" t="str">
        <f>IF(Jun!G59=0,"",Jun!G59)</f>
        <v/>
      </c>
      <c r="Z108" s="45" t="str">
        <f>IF(Jul!G59=0,"",Jul!G59)</f>
        <v/>
      </c>
      <c r="AA108" s="45" t="str">
        <f>IF(Ago!G59=0,"",Ago!G59)</f>
        <v/>
      </c>
      <c r="AB108" s="45" t="str">
        <f>IF(Set!G59=0,"",Set!G59)</f>
        <v/>
      </c>
      <c r="AC108" s="45" t="str">
        <f>IF(Out!G59=0,"",Out!G59)</f>
        <v/>
      </c>
      <c r="AD108" s="45" t="str">
        <f>IF(Nov!G59=0,"",Nov!G59)</f>
        <v/>
      </c>
      <c r="AE108" s="45" t="str">
        <f>IF(Dez!G59=0,"",Dez!G59)</f>
        <v/>
      </c>
      <c r="AF108" s="42"/>
      <c r="AG108" s="42"/>
      <c r="AH108" s="42"/>
    </row>
    <row r="109" spans="1:34" ht="16" x14ac:dyDescent="0.2">
      <c r="A109" s="42"/>
      <c r="B109" s="42"/>
      <c r="C109" s="42"/>
      <c r="D109" s="42"/>
      <c r="E109" s="42"/>
      <c r="F109" s="42"/>
      <c r="G109" s="42"/>
      <c r="H109" s="42"/>
      <c r="I109" s="42"/>
      <c r="J109" s="42"/>
      <c r="K109" s="141"/>
      <c r="L109" s="141"/>
      <c r="M109" s="141"/>
      <c r="N109" s="141"/>
      <c r="O109" s="42"/>
      <c r="P109" s="42"/>
      <c r="Q109" s="42"/>
      <c r="R109" s="42"/>
      <c r="S109" s="44" t="str">
        <f>IF(Personalização!B61=0,"",Personalização!B61)</f>
        <v/>
      </c>
      <c r="T109" s="45" t="str">
        <f>IF(Jan!G60=0,"",Jan!G60)</f>
        <v/>
      </c>
      <c r="U109" s="45" t="str">
        <f>IF(Fev!G60=0,"",Fev!G60)</f>
        <v/>
      </c>
      <c r="V109" s="45" t="str">
        <f>IF(Mar!G60=0,"",Mar!G60)</f>
        <v/>
      </c>
      <c r="W109" s="45" t="str">
        <f>IF(Abr!G60=0,"",Abr!G60)</f>
        <v/>
      </c>
      <c r="X109" s="45" t="str">
        <f>IF(Mai!G60=0,"",Mai!G60)</f>
        <v/>
      </c>
      <c r="Y109" s="45" t="str">
        <f>IF(Jun!G60=0,"",Jun!G60)</f>
        <v/>
      </c>
      <c r="Z109" s="45" t="str">
        <f>IF(Jul!G60=0,"",Jul!G60)</f>
        <v/>
      </c>
      <c r="AA109" s="45" t="str">
        <f>IF(Ago!G60=0,"",Ago!G60)</f>
        <v/>
      </c>
      <c r="AB109" s="45" t="str">
        <f>IF(Set!G60=0,"",Set!G60)</f>
        <v/>
      </c>
      <c r="AC109" s="45" t="str">
        <f>IF(Out!G60=0,"",Out!G60)</f>
        <v/>
      </c>
      <c r="AD109" s="45" t="str">
        <f>IF(Nov!G60=0,"",Nov!G60)</f>
        <v/>
      </c>
      <c r="AE109" s="45" t="str">
        <f>IF(Dez!G60=0,"",Dez!G60)</f>
        <v/>
      </c>
      <c r="AF109" s="42"/>
      <c r="AG109" s="42"/>
      <c r="AH109" s="42"/>
    </row>
    <row r="110" spans="1:34" ht="16" x14ac:dyDescent="0.2">
      <c r="A110" s="42"/>
      <c r="B110" s="42"/>
      <c r="C110" s="42"/>
      <c r="D110" s="42"/>
      <c r="E110" s="42"/>
      <c r="F110" s="42"/>
      <c r="G110" s="42"/>
      <c r="H110" s="42"/>
      <c r="I110" s="42"/>
      <c r="J110" s="42"/>
      <c r="K110" s="141"/>
      <c r="L110" s="141"/>
      <c r="M110" s="141"/>
      <c r="N110" s="141"/>
      <c r="O110" s="42"/>
      <c r="P110" s="42"/>
      <c r="Q110" s="42"/>
      <c r="R110" s="42"/>
      <c r="S110" s="44" t="str">
        <f>IF(Personalização!B62=0,"",Personalização!B62)</f>
        <v/>
      </c>
      <c r="T110" s="45" t="str">
        <f>IF(Jan!G61=0,"",Jan!G61)</f>
        <v/>
      </c>
      <c r="U110" s="45" t="str">
        <f>IF(Fev!G61=0,"",Fev!G61)</f>
        <v/>
      </c>
      <c r="V110" s="45" t="str">
        <f>IF(Mar!G61=0,"",Mar!G61)</f>
        <v/>
      </c>
      <c r="W110" s="45" t="str">
        <f>IF(Abr!G61=0,"",Abr!G61)</f>
        <v/>
      </c>
      <c r="X110" s="45" t="str">
        <f>IF(Mai!G61=0,"",Mai!G61)</f>
        <v/>
      </c>
      <c r="Y110" s="45" t="str">
        <f>IF(Jun!G61=0,"",Jun!G61)</f>
        <v/>
      </c>
      <c r="Z110" s="45" t="str">
        <f>IF(Jul!G61=0,"",Jul!G61)</f>
        <v/>
      </c>
      <c r="AA110" s="45" t="str">
        <f>IF(Ago!G61=0,"",Ago!G61)</f>
        <v/>
      </c>
      <c r="AB110" s="45" t="str">
        <f>IF(Set!G61=0,"",Set!G61)</f>
        <v/>
      </c>
      <c r="AC110" s="45" t="str">
        <f>IF(Out!G61=0,"",Out!G61)</f>
        <v/>
      </c>
      <c r="AD110" s="45" t="str">
        <f>IF(Nov!G61=0,"",Nov!G61)</f>
        <v/>
      </c>
      <c r="AE110" s="45" t="str">
        <f>IF(Dez!G61=0,"",Dez!G61)</f>
        <v/>
      </c>
      <c r="AF110" s="42"/>
      <c r="AG110" s="42"/>
      <c r="AH110" s="42"/>
    </row>
    <row r="111" spans="1:34" ht="16" x14ac:dyDescent="0.2">
      <c r="A111" s="42"/>
      <c r="B111" s="42"/>
      <c r="C111" s="42"/>
      <c r="D111" s="42"/>
      <c r="E111" s="42"/>
      <c r="F111" s="42"/>
      <c r="G111" s="42"/>
      <c r="H111" s="42"/>
      <c r="I111" s="42"/>
      <c r="J111" s="42"/>
      <c r="K111" s="141"/>
      <c r="L111" s="141"/>
      <c r="M111" s="141"/>
      <c r="N111" s="141"/>
      <c r="O111" s="42"/>
      <c r="P111" s="42"/>
      <c r="Q111" s="42"/>
      <c r="R111" s="42"/>
      <c r="S111" s="44" t="str">
        <f>IF(Personalização!B63=0,"",Personalização!B63)</f>
        <v/>
      </c>
      <c r="T111" s="45" t="str">
        <f>IF(Jan!G62=0,"",Jan!G62)</f>
        <v/>
      </c>
      <c r="U111" s="45" t="str">
        <f>IF(Fev!G62=0,"",Fev!G62)</f>
        <v/>
      </c>
      <c r="V111" s="45" t="str">
        <f>IF(Mar!G62=0,"",Mar!G62)</f>
        <v/>
      </c>
      <c r="W111" s="45" t="str">
        <f>IF(Abr!G62=0,"",Abr!G62)</f>
        <v/>
      </c>
      <c r="X111" s="45" t="str">
        <f>IF(Mai!G62=0,"",Mai!G62)</f>
        <v/>
      </c>
      <c r="Y111" s="45" t="str">
        <f>IF(Jun!G62=0,"",Jun!G62)</f>
        <v/>
      </c>
      <c r="Z111" s="45" t="str">
        <f>IF(Jul!G62=0,"",Jul!G62)</f>
        <v/>
      </c>
      <c r="AA111" s="45" t="str">
        <f>IF(Ago!G62=0,"",Ago!G62)</f>
        <v/>
      </c>
      <c r="AB111" s="45" t="str">
        <f>IF(Set!G62=0,"",Set!G62)</f>
        <v/>
      </c>
      <c r="AC111" s="45" t="str">
        <f>IF(Out!G62=0,"",Out!G62)</f>
        <v/>
      </c>
      <c r="AD111" s="45" t="str">
        <f>IF(Nov!G62=0,"",Nov!G62)</f>
        <v/>
      </c>
      <c r="AE111" s="45" t="str">
        <f>IF(Dez!G62=0,"",Dez!G62)</f>
        <v/>
      </c>
      <c r="AF111" s="42"/>
      <c r="AG111" s="42"/>
      <c r="AH111" s="42"/>
    </row>
    <row r="112" spans="1:34" ht="16" x14ac:dyDescent="0.2">
      <c r="A112" s="42"/>
      <c r="B112" s="42"/>
      <c r="C112" s="42"/>
      <c r="D112" s="42"/>
      <c r="E112" s="42"/>
      <c r="F112" s="42"/>
      <c r="G112" s="42"/>
      <c r="H112" s="42"/>
      <c r="I112" s="42"/>
      <c r="J112" s="42"/>
      <c r="K112" s="141"/>
      <c r="L112" s="141"/>
      <c r="M112" s="141"/>
      <c r="N112" s="141"/>
      <c r="O112" s="42"/>
      <c r="P112" s="42"/>
      <c r="Q112" s="42"/>
      <c r="R112" s="42"/>
      <c r="S112" s="44" t="str">
        <f>IF(Personalização!B64=0,"",Personalização!B64)</f>
        <v/>
      </c>
      <c r="T112" s="45" t="str">
        <f>IF(Jan!G63=0,"",Jan!G63)</f>
        <v/>
      </c>
      <c r="U112" s="45" t="str">
        <f>IF(Fev!G63=0,"",Fev!G63)</f>
        <v/>
      </c>
      <c r="V112" s="45" t="str">
        <f>IF(Mar!G63=0,"",Mar!G63)</f>
        <v/>
      </c>
      <c r="W112" s="45" t="str">
        <f>IF(Abr!G63=0,"",Abr!G63)</f>
        <v/>
      </c>
      <c r="X112" s="45" t="str">
        <f>IF(Mai!G63=0,"",Mai!G63)</f>
        <v/>
      </c>
      <c r="Y112" s="45" t="str">
        <f>IF(Jun!G63=0,"",Jun!G63)</f>
        <v/>
      </c>
      <c r="Z112" s="45" t="str">
        <f>IF(Jul!G63=0,"",Jul!G63)</f>
        <v/>
      </c>
      <c r="AA112" s="45" t="str">
        <f>IF(Ago!G63=0,"",Ago!G63)</f>
        <v/>
      </c>
      <c r="AB112" s="45" t="str">
        <f>IF(Set!G63=0,"",Set!G63)</f>
        <v/>
      </c>
      <c r="AC112" s="45" t="str">
        <f>IF(Out!G63=0,"",Out!G63)</f>
        <v/>
      </c>
      <c r="AD112" s="45" t="str">
        <f>IF(Nov!G63=0,"",Nov!G63)</f>
        <v/>
      </c>
      <c r="AE112" s="45" t="str">
        <f>IF(Dez!G63=0,"",Dez!G63)</f>
        <v/>
      </c>
      <c r="AF112" s="42"/>
      <c r="AG112" s="42"/>
      <c r="AH112" s="42"/>
    </row>
    <row r="113" spans="1:34" ht="16" x14ac:dyDescent="0.2">
      <c r="A113" s="42"/>
      <c r="B113" s="42"/>
      <c r="C113" s="42"/>
      <c r="D113" s="42"/>
      <c r="E113" s="42"/>
      <c r="F113" s="42"/>
      <c r="G113" s="42"/>
      <c r="H113" s="42"/>
      <c r="I113" s="42"/>
      <c r="J113" s="42"/>
      <c r="K113" s="141"/>
      <c r="L113" s="141"/>
      <c r="M113" s="141"/>
      <c r="N113" s="141"/>
      <c r="O113" s="42"/>
      <c r="P113" s="42"/>
      <c r="Q113" s="42"/>
      <c r="R113" s="42"/>
      <c r="S113" s="44" t="str">
        <f>IF(Personalização!B65=0,"",Personalização!B65)</f>
        <v/>
      </c>
      <c r="T113" s="45" t="str">
        <f>IF(Jan!G64=0,"",Jan!G64)</f>
        <v/>
      </c>
      <c r="U113" s="45" t="str">
        <f>IF(Fev!G64=0,"",Fev!G64)</f>
        <v/>
      </c>
      <c r="V113" s="45" t="str">
        <f>IF(Mar!G64=0,"",Mar!G64)</f>
        <v/>
      </c>
      <c r="W113" s="45" t="str">
        <f>IF(Abr!G64=0,"",Abr!G64)</f>
        <v/>
      </c>
      <c r="X113" s="45" t="str">
        <f>IF(Mai!G64=0,"",Mai!G64)</f>
        <v/>
      </c>
      <c r="Y113" s="45" t="str">
        <f>IF(Jun!G64=0,"",Jun!G64)</f>
        <v/>
      </c>
      <c r="Z113" s="45" t="str">
        <f>IF(Jul!G64=0,"",Jul!G64)</f>
        <v/>
      </c>
      <c r="AA113" s="45" t="str">
        <f>IF(Ago!G64=0,"",Ago!G64)</f>
        <v/>
      </c>
      <c r="AB113" s="45" t="str">
        <f>IF(Set!G64=0,"",Set!G64)</f>
        <v/>
      </c>
      <c r="AC113" s="45" t="str">
        <f>IF(Out!G64=0,"",Out!G64)</f>
        <v/>
      </c>
      <c r="AD113" s="45" t="str">
        <f>IF(Nov!G64=0,"",Nov!G64)</f>
        <v/>
      </c>
      <c r="AE113" s="45" t="str">
        <f>IF(Dez!G64=0,"",Dez!G64)</f>
        <v/>
      </c>
      <c r="AF113" s="42"/>
      <c r="AG113" s="42"/>
      <c r="AH113" s="42"/>
    </row>
    <row r="114" spans="1:34" ht="16" x14ac:dyDescent="0.2">
      <c r="A114" s="42"/>
      <c r="B114" s="42"/>
      <c r="C114" s="42"/>
      <c r="D114" s="42"/>
      <c r="E114" s="42"/>
      <c r="F114" s="42"/>
      <c r="G114" s="42"/>
      <c r="H114" s="42"/>
      <c r="I114" s="42"/>
      <c r="J114" s="42"/>
      <c r="K114" s="141"/>
      <c r="L114" s="141"/>
      <c r="M114" s="141"/>
      <c r="N114" s="141"/>
      <c r="O114" s="42"/>
      <c r="P114" s="42"/>
      <c r="Q114" s="42"/>
      <c r="R114" s="42"/>
      <c r="S114" s="44" t="str">
        <f>IF(Personalização!B66=0,"",Personalização!B66)</f>
        <v/>
      </c>
      <c r="T114" s="45" t="str">
        <f>IF(Jan!G65=0,"",Jan!G65)</f>
        <v/>
      </c>
      <c r="U114" s="45" t="str">
        <f>IF(Fev!G65=0,"",Fev!G65)</f>
        <v/>
      </c>
      <c r="V114" s="45" t="str">
        <f>IF(Mar!G65=0,"",Mar!G65)</f>
        <v/>
      </c>
      <c r="W114" s="45" t="str">
        <f>IF(Abr!G65=0,"",Abr!G65)</f>
        <v/>
      </c>
      <c r="X114" s="45" t="str">
        <f>IF(Mai!G65=0,"",Mai!G65)</f>
        <v/>
      </c>
      <c r="Y114" s="45" t="str">
        <f>IF(Jun!G65=0,"",Jun!G65)</f>
        <v/>
      </c>
      <c r="Z114" s="45" t="str">
        <f>IF(Jul!G65=0,"",Jul!G65)</f>
        <v/>
      </c>
      <c r="AA114" s="45" t="str">
        <f>IF(Ago!G65=0,"",Ago!G65)</f>
        <v/>
      </c>
      <c r="AB114" s="45" t="str">
        <f>IF(Set!G65=0,"",Set!G65)</f>
        <v/>
      </c>
      <c r="AC114" s="45" t="str">
        <f>IF(Out!G65=0,"",Out!G65)</f>
        <v/>
      </c>
      <c r="AD114" s="45" t="str">
        <f>IF(Nov!G65=0,"",Nov!G65)</f>
        <v/>
      </c>
      <c r="AE114" s="45" t="str">
        <f>IF(Dez!G65=0,"",Dez!G65)</f>
        <v/>
      </c>
      <c r="AF114" s="42"/>
      <c r="AG114" s="42"/>
      <c r="AH114" s="42"/>
    </row>
    <row r="115" spans="1:34" ht="16" x14ac:dyDescent="0.2">
      <c r="A115" s="42"/>
      <c r="B115" s="42"/>
      <c r="C115" s="42"/>
      <c r="D115" s="42"/>
      <c r="E115" s="42"/>
      <c r="F115" s="42"/>
      <c r="G115" s="42"/>
      <c r="H115" s="42"/>
      <c r="I115" s="42"/>
      <c r="J115" s="42"/>
      <c r="K115" s="141"/>
      <c r="L115" s="141"/>
      <c r="M115" s="141"/>
      <c r="N115" s="141"/>
      <c r="O115" s="42"/>
      <c r="P115" s="42"/>
      <c r="Q115" s="42"/>
      <c r="R115" s="42"/>
      <c r="S115" s="44" t="str">
        <f>IF(Personalização!B67=0,"",Personalização!B67)</f>
        <v/>
      </c>
      <c r="T115" s="45" t="str">
        <f>IF(Jan!G66=0,"",Jan!G66)</f>
        <v/>
      </c>
      <c r="U115" s="45" t="str">
        <f>IF(Fev!G66=0,"",Fev!G66)</f>
        <v/>
      </c>
      <c r="V115" s="45" t="str">
        <f>IF(Mar!G66=0,"",Mar!G66)</f>
        <v/>
      </c>
      <c r="W115" s="45" t="str">
        <f>IF(Abr!G66=0,"",Abr!G66)</f>
        <v/>
      </c>
      <c r="X115" s="45" t="str">
        <f>IF(Mai!G66=0,"",Mai!G66)</f>
        <v/>
      </c>
      <c r="Y115" s="45" t="str">
        <f>IF(Jun!G66=0,"",Jun!G66)</f>
        <v/>
      </c>
      <c r="Z115" s="45" t="str">
        <f>IF(Jul!G66=0,"",Jul!G66)</f>
        <v/>
      </c>
      <c r="AA115" s="45" t="str">
        <f>IF(Ago!G66=0,"",Ago!G66)</f>
        <v/>
      </c>
      <c r="AB115" s="45" t="str">
        <f>IF(Set!G66=0,"",Set!G66)</f>
        <v/>
      </c>
      <c r="AC115" s="45" t="str">
        <f>IF(Out!G66=0,"",Out!G66)</f>
        <v/>
      </c>
      <c r="AD115" s="45" t="str">
        <f>IF(Nov!G66=0,"",Nov!G66)</f>
        <v/>
      </c>
      <c r="AE115" s="45" t="str">
        <f>IF(Dez!G66=0,"",Dez!G66)</f>
        <v/>
      </c>
      <c r="AF115" s="42"/>
      <c r="AG115" s="42"/>
      <c r="AH115" s="42"/>
    </row>
    <row r="116" spans="1:34" ht="16" x14ac:dyDescent="0.2">
      <c r="A116" s="42"/>
      <c r="B116" s="42"/>
      <c r="C116" s="42"/>
      <c r="D116" s="42"/>
      <c r="E116" s="42"/>
      <c r="F116" s="42"/>
      <c r="G116" s="42"/>
      <c r="H116" s="42"/>
      <c r="I116" s="42"/>
      <c r="J116" s="42"/>
      <c r="K116" s="141"/>
      <c r="L116" s="141"/>
      <c r="M116" s="141"/>
      <c r="N116" s="141"/>
      <c r="O116" s="42"/>
      <c r="P116" s="42"/>
      <c r="Q116" s="42"/>
      <c r="R116" s="42"/>
      <c r="S116" s="44" t="str">
        <f>IF(Personalização!B68=0,"",Personalização!B68)</f>
        <v/>
      </c>
      <c r="T116" s="45" t="str">
        <f>IF(Jan!G67=0,"",Jan!G67)</f>
        <v/>
      </c>
      <c r="U116" s="45" t="str">
        <f>IF(Fev!G67=0,"",Fev!G67)</f>
        <v/>
      </c>
      <c r="V116" s="45" t="str">
        <f>IF(Mar!G67=0,"",Mar!G67)</f>
        <v/>
      </c>
      <c r="W116" s="45" t="str">
        <f>IF(Abr!G67=0,"",Abr!G67)</f>
        <v/>
      </c>
      <c r="X116" s="45" t="str">
        <f>IF(Mai!G67=0,"",Mai!G67)</f>
        <v/>
      </c>
      <c r="Y116" s="45" t="str">
        <f>IF(Jun!G67=0,"",Jun!G67)</f>
        <v/>
      </c>
      <c r="Z116" s="45" t="str">
        <f>IF(Jul!G67=0,"",Jul!G67)</f>
        <v/>
      </c>
      <c r="AA116" s="45" t="str">
        <f>IF(Ago!G67=0,"",Ago!G67)</f>
        <v/>
      </c>
      <c r="AB116" s="45" t="str">
        <f>IF(Set!G67=0,"",Set!G67)</f>
        <v/>
      </c>
      <c r="AC116" s="45" t="str">
        <f>IF(Out!G67=0,"",Out!G67)</f>
        <v/>
      </c>
      <c r="AD116" s="45" t="str">
        <f>IF(Nov!G67=0,"",Nov!G67)</f>
        <v/>
      </c>
      <c r="AE116" s="45" t="str">
        <f>IF(Dez!G67=0,"",Dez!G67)</f>
        <v/>
      </c>
      <c r="AF116" s="42"/>
      <c r="AG116" s="42"/>
      <c r="AH116" s="42"/>
    </row>
    <row r="117" spans="1:34" ht="16" x14ac:dyDescent="0.2">
      <c r="A117" s="42"/>
      <c r="B117" s="42"/>
      <c r="C117" s="42"/>
      <c r="D117" s="42"/>
      <c r="E117" s="42"/>
      <c r="F117" s="42"/>
      <c r="G117" s="42"/>
      <c r="H117" s="42"/>
      <c r="I117" s="42"/>
      <c r="J117" s="42"/>
      <c r="K117" s="141"/>
      <c r="L117" s="141"/>
      <c r="M117" s="141"/>
      <c r="N117" s="141"/>
      <c r="O117" s="42"/>
      <c r="P117" s="42"/>
      <c r="Q117" s="42"/>
      <c r="R117" s="42"/>
      <c r="S117" s="44" t="str">
        <f>IF(Personalização!B69=0,"",Personalização!B69)</f>
        <v/>
      </c>
      <c r="T117" s="45" t="str">
        <f>IF(Jan!G68=0,"",Jan!G68)</f>
        <v/>
      </c>
      <c r="U117" s="45" t="str">
        <f>IF(Fev!G68=0,"",Fev!G68)</f>
        <v/>
      </c>
      <c r="V117" s="45" t="str">
        <f>IF(Mar!G68=0,"",Mar!G68)</f>
        <v/>
      </c>
      <c r="W117" s="45" t="str">
        <f>IF(Abr!G68=0,"",Abr!G68)</f>
        <v/>
      </c>
      <c r="X117" s="45" t="str">
        <f>IF(Mai!G68=0,"",Mai!G68)</f>
        <v/>
      </c>
      <c r="Y117" s="45" t="str">
        <f>IF(Jun!G68=0,"",Jun!G68)</f>
        <v/>
      </c>
      <c r="Z117" s="45" t="str">
        <f>IF(Jul!G68=0,"",Jul!G68)</f>
        <v/>
      </c>
      <c r="AA117" s="45" t="str">
        <f>IF(Ago!G68=0,"",Ago!G68)</f>
        <v/>
      </c>
      <c r="AB117" s="45" t="str">
        <f>IF(Set!G68=0,"",Set!G68)</f>
        <v/>
      </c>
      <c r="AC117" s="45" t="str">
        <f>IF(Out!G68=0,"",Out!G68)</f>
        <v/>
      </c>
      <c r="AD117" s="45" t="str">
        <f>IF(Nov!G68=0,"",Nov!G68)</f>
        <v/>
      </c>
      <c r="AE117" s="45" t="str">
        <f>IF(Dez!G68=0,"",Dez!G68)</f>
        <v/>
      </c>
      <c r="AF117" s="42"/>
      <c r="AG117" s="42"/>
      <c r="AH117" s="42"/>
    </row>
    <row r="118" spans="1:34" ht="16" x14ac:dyDescent="0.2">
      <c r="A118" s="42"/>
      <c r="B118" s="42"/>
      <c r="C118" s="42"/>
      <c r="D118" s="42"/>
      <c r="E118" s="42"/>
      <c r="F118" s="42"/>
      <c r="G118" s="42"/>
      <c r="H118" s="42"/>
      <c r="I118" s="42"/>
      <c r="J118" s="42"/>
      <c r="K118" s="141"/>
      <c r="L118" s="141"/>
      <c r="M118" s="141"/>
      <c r="N118" s="141"/>
      <c r="O118" s="42"/>
      <c r="P118" s="42"/>
      <c r="Q118" s="42"/>
      <c r="R118" s="42"/>
      <c r="S118" s="44" t="str">
        <f>IF(Personalização!B70=0,"",Personalização!B70)</f>
        <v/>
      </c>
      <c r="T118" s="45" t="str">
        <f>IF(Jan!G69=0,"",Jan!G69)</f>
        <v/>
      </c>
      <c r="U118" s="45" t="str">
        <f>IF(Fev!G69=0,"",Fev!G69)</f>
        <v/>
      </c>
      <c r="V118" s="45" t="str">
        <f>IF(Mar!G69=0,"",Mar!G69)</f>
        <v/>
      </c>
      <c r="W118" s="45" t="str">
        <f>IF(Abr!G69=0,"",Abr!G69)</f>
        <v/>
      </c>
      <c r="X118" s="45" t="str">
        <f>IF(Mai!G69=0,"",Mai!G69)</f>
        <v/>
      </c>
      <c r="Y118" s="45" t="str">
        <f>IF(Jun!G69=0,"",Jun!G69)</f>
        <v/>
      </c>
      <c r="Z118" s="45" t="str">
        <f>IF(Jul!G69=0,"",Jul!G69)</f>
        <v/>
      </c>
      <c r="AA118" s="45" t="str">
        <f>IF(Ago!G69=0,"",Ago!G69)</f>
        <v/>
      </c>
      <c r="AB118" s="45" t="str">
        <f>IF(Set!G69=0,"",Set!G69)</f>
        <v/>
      </c>
      <c r="AC118" s="45" t="str">
        <f>IF(Out!G69=0,"",Out!G69)</f>
        <v/>
      </c>
      <c r="AD118" s="45" t="str">
        <f>IF(Nov!G69=0,"",Nov!G69)</f>
        <v/>
      </c>
      <c r="AE118" s="45" t="str">
        <f>IF(Dez!G69=0,"",Dez!G69)</f>
        <v/>
      </c>
      <c r="AF118" s="42"/>
      <c r="AG118" s="42"/>
      <c r="AH118" s="42"/>
    </row>
    <row r="119" spans="1:34" ht="16" x14ac:dyDescent="0.2">
      <c r="A119" s="42"/>
      <c r="B119" s="42"/>
      <c r="C119" s="42"/>
      <c r="D119" s="42"/>
      <c r="E119" s="42"/>
      <c r="F119" s="42"/>
      <c r="G119" s="42"/>
      <c r="H119" s="42"/>
      <c r="I119" s="42"/>
      <c r="J119" s="42"/>
      <c r="K119" s="141"/>
      <c r="L119" s="141"/>
      <c r="M119" s="141"/>
      <c r="N119" s="141"/>
      <c r="O119" s="42"/>
      <c r="P119" s="42"/>
      <c r="Q119" s="42"/>
      <c r="R119" s="42"/>
      <c r="S119" s="44" t="str">
        <f>IF(Personalização!B71=0,"",Personalização!B71)</f>
        <v/>
      </c>
      <c r="T119" s="45" t="str">
        <f>IF(Jan!G70=0,"",Jan!G70)</f>
        <v/>
      </c>
      <c r="U119" s="45" t="str">
        <f>IF(Fev!G70=0,"",Fev!G70)</f>
        <v/>
      </c>
      <c r="V119" s="45" t="str">
        <f>IF(Mar!G70=0,"",Mar!G70)</f>
        <v/>
      </c>
      <c r="W119" s="45" t="str">
        <f>IF(Abr!G70=0,"",Abr!G70)</f>
        <v/>
      </c>
      <c r="X119" s="45" t="str">
        <f>IF(Mai!G70=0,"",Mai!G70)</f>
        <v/>
      </c>
      <c r="Y119" s="45" t="str">
        <f>IF(Jun!G70=0,"",Jun!G70)</f>
        <v/>
      </c>
      <c r="Z119" s="45" t="str">
        <f>IF(Jul!G70=0,"",Jul!G70)</f>
        <v/>
      </c>
      <c r="AA119" s="45" t="str">
        <f>IF(Ago!G70=0,"",Ago!G70)</f>
        <v/>
      </c>
      <c r="AB119" s="45" t="str">
        <f>IF(Set!G70=0,"",Set!G70)</f>
        <v/>
      </c>
      <c r="AC119" s="45" t="str">
        <f>IF(Out!G70=0,"",Out!G70)</f>
        <v/>
      </c>
      <c r="AD119" s="45" t="str">
        <f>IF(Nov!G70=0,"",Nov!G70)</f>
        <v/>
      </c>
      <c r="AE119" s="45" t="str">
        <f>IF(Dez!G70=0,"",Dez!G70)</f>
        <v/>
      </c>
      <c r="AF119" s="42"/>
      <c r="AG119" s="42"/>
      <c r="AH119" s="42"/>
    </row>
    <row r="120" spans="1:34" ht="16" x14ac:dyDescent="0.2">
      <c r="A120" s="42"/>
      <c r="B120" s="42"/>
      <c r="C120" s="42"/>
      <c r="D120" s="42"/>
      <c r="E120" s="42"/>
      <c r="F120" s="42"/>
      <c r="G120" s="42"/>
      <c r="H120" s="42"/>
      <c r="I120" s="42"/>
      <c r="J120" s="42"/>
      <c r="K120" s="141"/>
      <c r="L120" s="141"/>
      <c r="M120" s="141"/>
      <c r="N120" s="141"/>
      <c r="O120" s="42"/>
      <c r="P120" s="42"/>
      <c r="Q120" s="42"/>
      <c r="R120" s="42"/>
      <c r="S120" s="44" t="str">
        <f>IF(Personalização!B72=0,"",Personalização!B72)</f>
        <v/>
      </c>
      <c r="T120" s="45" t="str">
        <f>IF(Jan!G71=0,"",Jan!G71)</f>
        <v/>
      </c>
      <c r="U120" s="45" t="str">
        <f>IF(Fev!G71=0,"",Fev!G71)</f>
        <v/>
      </c>
      <c r="V120" s="45" t="str">
        <f>IF(Mar!G71=0,"",Mar!G71)</f>
        <v/>
      </c>
      <c r="W120" s="45" t="str">
        <f>IF(Abr!G71=0,"",Abr!G71)</f>
        <v/>
      </c>
      <c r="X120" s="45" t="str">
        <f>IF(Mai!G71=0,"",Mai!G71)</f>
        <v/>
      </c>
      <c r="Y120" s="45" t="str">
        <f>IF(Jun!G71=0,"",Jun!G71)</f>
        <v/>
      </c>
      <c r="Z120" s="45" t="str">
        <f>IF(Jul!G71=0,"",Jul!G71)</f>
        <v/>
      </c>
      <c r="AA120" s="45" t="str">
        <f>IF(Ago!G71=0,"",Ago!G71)</f>
        <v/>
      </c>
      <c r="AB120" s="45" t="str">
        <f>IF(Set!G71=0,"",Set!G71)</f>
        <v/>
      </c>
      <c r="AC120" s="45" t="str">
        <f>IF(Out!G71=0,"",Out!G71)</f>
        <v/>
      </c>
      <c r="AD120" s="45" t="str">
        <f>IF(Nov!G71=0,"",Nov!G71)</f>
        <v/>
      </c>
      <c r="AE120" s="45" t="str">
        <f>IF(Dez!G71=0,"",Dez!G71)</f>
        <v/>
      </c>
      <c r="AF120" s="42"/>
      <c r="AG120" s="42"/>
      <c r="AH120" s="42"/>
    </row>
    <row r="121" spans="1:34" ht="16" x14ac:dyDescent="0.2">
      <c r="A121" s="42"/>
      <c r="B121" s="42"/>
      <c r="C121" s="42"/>
      <c r="D121" s="42"/>
      <c r="E121" s="42"/>
      <c r="F121" s="42"/>
      <c r="G121" s="42"/>
      <c r="H121" s="42"/>
      <c r="I121" s="42"/>
      <c r="J121" s="42"/>
      <c r="K121" s="141"/>
      <c r="L121" s="141"/>
      <c r="M121" s="141"/>
      <c r="N121" s="141"/>
      <c r="O121" s="42"/>
      <c r="P121" s="42"/>
      <c r="Q121" s="42"/>
      <c r="R121" s="42"/>
      <c r="S121" s="44" t="str">
        <f>IF(Personalização!B73=0,"",Personalização!B73)</f>
        <v/>
      </c>
      <c r="T121" s="45" t="str">
        <f>IF(Jan!G72=0,"",Jan!G72)</f>
        <v/>
      </c>
      <c r="U121" s="45" t="str">
        <f>IF(Fev!G72=0,"",Fev!G72)</f>
        <v/>
      </c>
      <c r="V121" s="45" t="str">
        <f>IF(Mar!G72=0,"",Mar!G72)</f>
        <v/>
      </c>
      <c r="W121" s="45" t="str">
        <f>IF(Abr!G72=0,"",Abr!G72)</f>
        <v/>
      </c>
      <c r="X121" s="45" t="str">
        <f>IF(Mai!G72=0,"",Mai!G72)</f>
        <v/>
      </c>
      <c r="Y121" s="45" t="str">
        <f>IF(Jun!G72=0,"",Jun!G72)</f>
        <v/>
      </c>
      <c r="Z121" s="45" t="str">
        <f>IF(Jul!G72=0,"",Jul!G72)</f>
        <v/>
      </c>
      <c r="AA121" s="45" t="str">
        <f>IF(Ago!G72=0,"",Ago!G72)</f>
        <v/>
      </c>
      <c r="AB121" s="45" t="str">
        <f>IF(Set!G72=0,"",Set!G72)</f>
        <v/>
      </c>
      <c r="AC121" s="45" t="str">
        <f>IF(Out!G72=0,"",Out!G72)</f>
        <v/>
      </c>
      <c r="AD121" s="45" t="str">
        <f>IF(Nov!G72=0,"",Nov!G72)</f>
        <v/>
      </c>
      <c r="AE121" s="45" t="str">
        <f>IF(Dez!G72=0,"",Dez!G72)</f>
        <v/>
      </c>
      <c r="AF121" s="42"/>
      <c r="AG121" s="42"/>
      <c r="AH121" s="42"/>
    </row>
    <row r="122" spans="1:34" ht="16" x14ac:dyDescent="0.2">
      <c r="A122" s="42"/>
      <c r="B122" s="42"/>
      <c r="C122" s="42"/>
      <c r="D122" s="42"/>
      <c r="E122" s="42"/>
      <c r="F122" s="42"/>
      <c r="G122" s="42"/>
      <c r="H122" s="42"/>
      <c r="I122" s="42"/>
      <c r="J122" s="42"/>
      <c r="K122" s="141"/>
      <c r="L122" s="141"/>
      <c r="M122" s="141"/>
      <c r="N122" s="141"/>
      <c r="O122" s="42"/>
      <c r="P122" s="42"/>
      <c r="Q122" s="42"/>
      <c r="R122" s="42"/>
      <c r="S122" s="44" t="str">
        <f>IF(Personalização!B74=0,"",Personalização!B74)</f>
        <v/>
      </c>
      <c r="T122" s="45" t="str">
        <f>IF(Jan!G73=0,"",Jan!G73)</f>
        <v/>
      </c>
      <c r="U122" s="45" t="str">
        <f>IF(Fev!G73=0,"",Fev!G73)</f>
        <v/>
      </c>
      <c r="V122" s="45" t="str">
        <f>IF(Mar!G73=0,"",Mar!G73)</f>
        <v/>
      </c>
      <c r="W122" s="45" t="str">
        <f>IF(Abr!G73=0,"",Abr!G73)</f>
        <v/>
      </c>
      <c r="X122" s="45" t="str">
        <f>IF(Mai!G73=0,"",Mai!G73)</f>
        <v/>
      </c>
      <c r="Y122" s="45" t="str">
        <f>IF(Jun!G73=0,"",Jun!G73)</f>
        <v/>
      </c>
      <c r="Z122" s="45" t="str">
        <f>IF(Jul!G73=0,"",Jul!G73)</f>
        <v/>
      </c>
      <c r="AA122" s="45" t="str">
        <f>IF(Ago!G73=0,"",Ago!G73)</f>
        <v/>
      </c>
      <c r="AB122" s="45" t="str">
        <f>IF(Set!G73=0,"",Set!G73)</f>
        <v/>
      </c>
      <c r="AC122" s="45" t="str">
        <f>IF(Out!G73=0,"",Out!G73)</f>
        <v/>
      </c>
      <c r="AD122" s="45" t="str">
        <f>IF(Nov!G73=0,"",Nov!G73)</f>
        <v/>
      </c>
      <c r="AE122" s="45" t="str">
        <f>IF(Dez!G73=0,"",Dez!G73)</f>
        <v/>
      </c>
      <c r="AF122" s="42"/>
      <c r="AG122" s="42"/>
      <c r="AH122" s="42"/>
    </row>
    <row r="123" spans="1:34" ht="16" x14ac:dyDescent="0.2">
      <c r="A123" s="42"/>
      <c r="B123" s="42"/>
      <c r="C123" s="42"/>
      <c r="D123" s="42"/>
      <c r="E123" s="42"/>
      <c r="F123" s="42"/>
      <c r="G123" s="42"/>
      <c r="H123" s="42"/>
      <c r="I123" s="42"/>
      <c r="J123" s="42"/>
      <c r="K123" s="141"/>
      <c r="L123" s="141"/>
      <c r="M123" s="141"/>
      <c r="N123" s="141"/>
      <c r="O123" s="42"/>
      <c r="P123" s="42"/>
      <c r="Q123" s="42"/>
      <c r="R123" s="42"/>
      <c r="S123" s="44" t="str">
        <f>IF(Personalização!B75=0,"",Personalização!B75)</f>
        <v/>
      </c>
      <c r="T123" s="45" t="str">
        <f>IF(Jan!G74=0,"",Jan!G74)</f>
        <v/>
      </c>
      <c r="U123" s="45" t="str">
        <f>IF(Fev!G74=0,"",Fev!G74)</f>
        <v/>
      </c>
      <c r="V123" s="45" t="str">
        <f>IF(Mar!G74=0,"",Mar!G74)</f>
        <v/>
      </c>
      <c r="W123" s="45" t="str">
        <f>IF(Abr!G74=0,"",Abr!G74)</f>
        <v/>
      </c>
      <c r="X123" s="45" t="str">
        <f>IF(Mai!G74=0,"",Mai!G74)</f>
        <v/>
      </c>
      <c r="Y123" s="45" t="str">
        <f>IF(Jun!G74=0,"",Jun!G74)</f>
        <v/>
      </c>
      <c r="Z123" s="45" t="str">
        <f>IF(Jul!G74=0,"",Jul!G74)</f>
        <v/>
      </c>
      <c r="AA123" s="45" t="str">
        <f>IF(Ago!G74=0,"",Ago!G74)</f>
        <v/>
      </c>
      <c r="AB123" s="45" t="str">
        <f>IF(Set!G74=0,"",Set!G74)</f>
        <v/>
      </c>
      <c r="AC123" s="45" t="str">
        <f>IF(Out!G74=0,"",Out!G74)</f>
        <v/>
      </c>
      <c r="AD123" s="45" t="str">
        <f>IF(Nov!G74=0,"",Nov!G74)</f>
        <v/>
      </c>
      <c r="AE123" s="45" t="str">
        <f>IF(Dez!G74=0,"",Dez!G74)</f>
        <v/>
      </c>
      <c r="AF123" s="42"/>
      <c r="AG123" s="42"/>
      <c r="AH123" s="42"/>
    </row>
    <row r="124" spans="1:34" ht="16" x14ac:dyDescent="0.2">
      <c r="A124" s="42"/>
      <c r="B124" s="42"/>
      <c r="C124" s="42"/>
      <c r="D124" s="42"/>
      <c r="E124" s="42"/>
      <c r="F124" s="42"/>
      <c r="G124" s="42"/>
      <c r="H124" s="42"/>
      <c r="I124" s="42"/>
      <c r="J124" s="42"/>
      <c r="K124" s="141"/>
      <c r="L124" s="141"/>
      <c r="M124" s="141"/>
      <c r="N124" s="141"/>
      <c r="O124" s="42"/>
      <c r="P124" s="42"/>
      <c r="Q124" s="42"/>
      <c r="R124" s="42"/>
      <c r="S124" s="44" t="str">
        <f>IF(Personalização!B76=0,"",Personalização!B76)</f>
        <v/>
      </c>
      <c r="T124" s="45" t="str">
        <f>IF(Jan!G75=0,"",Jan!G75)</f>
        <v/>
      </c>
      <c r="U124" s="45" t="str">
        <f>IF(Fev!G75=0,"",Fev!G75)</f>
        <v/>
      </c>
      <c r="V124" s="45" t="str">
        <f>IF(Mar!G75=0,"",Mar!G75)</f>
        <v/>
      </c>
      <c r="W124" s="45" t="str">
        <f>IF(Abr!G75=0,"",Abr!G75)</f>
        <v/>
      </c>
      <c r="X124" s="45" t="str">
        <f>IF(Mai!G75=0,"",Mai!G75)</f>
        <v/>
      </c>
      <c r="Y124" s="45" t="str">
        <f>IF(Jun!G75=0,"",Jun!G75)</f>
        <v/>
      </c>
      <c r="Z124" s="45" t="str">
        <f>IF(Jul!G75=0,"",Jul!G75)</f>
        <v/>
      </c>
      <c r="AA124" s="45" t="str">
        <f>IF(Ago!G75=0,"",Ago!G75)</f>
        <v/>
      </c>
      <c r="AB124" s="45" t="str">
        <f>IF(Set!G75=0,"",Set!G75)</f>
        <v/>
      </c>
      <c r="AC124" s="45" t="str">
        <f>IF(Out!G75=0,"",Out!G75)</f>
        <v/>
      </c>
      <c r="AD124" s="45" t="str">
        <f>IF(Nov!G75=0,"",Nov!G75)</f>
        <v/>
      </c>
      <c r="AE124" s="45" t="str">
        <f>IF(Dez!G75=0,"",Dez!G75)</f>
        <v/>
      </c>
      <c r="AF124" s="42"/>
      <c r="AG124" s="42"/>
      <c r="AH124" s="42"/>
    </row>
    <row r="125" spans="1:34" ht="16" x14ac:dyDescent="0.2">
      <c r="A125" s="42"/>
      <c r="B125" s="42"/>
      <c r="C125" s="42"/>
      <c r="D125" s="42"/>
      <c r="E125" s="42"/>
      <c r="F125" s="42"/>
      <c r="G125" s="42"/>
      <c r="H125" s="42"/>
      <c r="I125" s="42"/>
      <c r="J125" s="42"/>
      <c r="K125" s="141"/>
      <c r="L125" s="141"/>
      <c r="M125" s="141"/>
      <c r="N125" s="141"/>
      <c r="O125" s="42"/>
      <c r="P125" s="42"/>
      <c r="Q125" s="42"/>
      <c r="R125" s="42"/>
      <c r="S125" s="44" t="str">
        <f>IF(Personalização!B77=0,"",Personalização!B77)</f>
        <v/>
      </c>
      <c r="T125" s="45" t="str">
        <f>IF(Jan!G76=0,"",Jan!G76)</f>
        <v/>
      </c>
      <c r="U125" s="45" t="str">
        <f>IF(Fev!G76=0,"",Fev!G76)</f>
        <v/>
      </c>
      <c r="V125" s="45" t="str">
        <f>IF(Mar!G76=0,"",Mar!G76)</f>
        <v/>
      </c>
      <c r="W125" s="45" t="str">
        <f>IF(Abr!G76=0,"",Abr!G76)</f>
        <v/>
      </c>
      <c r="X125" s="45" t="str">
        <f>IF(Mai!G76=0,"",Mai!G76)</f>
        <v/>
      </c>
      <c r="Y125" s="45" t="str">
        <f>IF(Jun!G76=0,"",Jun!G76)</f>
        <v/>
      </c>
      <c r="Z125" s="45" t="str">
        <f>IF(Jul!G76=0,"",Jul!G76)</f>
        <v/>
      </c>
      <c r="AA125" s="45" t="str">
        <f>IF(Ago!G76=0,"",Ago!G76)</f>
        <v/>
      </c>
      <c r="AB125" s="45" t="str">
        <f>IF(Set!G76=0,"",Set!G76)</f>
        <v/>
      </c>
      <c r="AC125" s="45" t="str">
        <f>IF(Out!G76=0,"",Out!G76)</f>
        <v/>
      </c>
      <c r="AD125" s="45" t="str">
        <f>IF(Nov!G76=0,"",Nov!G76)</f>
        <v/>
      </c>
      <c r="AE125" s="45" t="str">
        <f>IF(Dez!G76=0,"",Dez!G76)</f>
        <v/>
      </c>
      <c r="AF125" s="42"/>
      <c r="AG125" s="42"/>
      <c r="AH125" s="42"/>
    </row>
    <row r="126" spans="1:34" ht="16" x14ac:dyDescent="0.2">
      <c r="A126" s="42"/>
      <c r="B126" s="42"/>
      <c r="C126" s="42"/>
      <c r="D126" s="42"/>
      <c r="E126" s="42"/>
      <c r="F126" s="42"/>
      <c r="G126" s="42"/>
      <c r="H126" s="42"/>
      <c r="I126" s="42"/>
      <c r="J126" s="42"/>
      <c r="K126" s="141"/>
      <c r="L126" s="141"/>
      <c r="M126" s="141"/>
      <c r="N126" s="141"/>
      <c r="O126" s="42"/>
      <c r="P126" s="42"/>
      <c r="Q126" s="42"/>
      <c r="R126" s="42"/>
      <c r="S126" s="44" t="str">
        <f>IF(Personalização!B78=0,"",Personalização!B78)</f>
        <v/>
      </c>
      <c r="T126" s="45" t="str">
        <f>IF(Jan!G77=0,"",Jan!G77)</f>
        <v/>
      </c>
      <c r="U126" s="45" t="str">
        <f>IF(Fev!G77=0,"",Fev!G77)</f>
        <v/>
      </c>
      <c r="V126" s="45" t="str">
        <f>IF(Mar!G77=0,"",Mar!G77)</f>
        <v/>
      </c>
      <c r="W126" s="45" t="str">
        <f>IF(Abr!G77=0,"",Abr!G77)</f>
        <v/>
      </c>
      <c r="X126" s="45" t="str">
        <f>IF(Mai!G77=0,"",Mai!G77)</f>
        <v/>
      </c>
      <c r="Y126" s="45" t="str">
        <f>IF(Jun!G77=0,"",Jun!G77)</f>
        <v/>
      </c>
      <c r="Z126" s="45" t="str">
        <f>IF(Jul!G77=0,"",Jul!G77)</f>
        <v/>
      </c>
      <c r="AA126" s="45" t="str">
        <f>IF(Ago!G77=0,"",Ago!G77)</f>
        <v/>
      </c>
      <c r="AB126" s="45" t="str">
        <f>IF(Set!G77=0,"",Set!G77)</f>
        <v/>
      </c>
      <c r="AC126" s="45" t="str">
        <f>IF(Out!G77=0,"",Out!G77)</f>
        <v/>
      </c>
      <c r="AD126" s="45" t="str">
        <f>IF(Nov!G77=0,"",Nov!G77)</f>
        <v/>
      </c>
      <c r="AE126" s="45" t="str">
        <f>IF(Dez!G77=0,"",Dez!G77)</f>
        <v/>
      </c>
      <c r="AF126" s="42"/>
      <c r="AG126" s="42"/>
      <c r="AH126" s="42"/>
    </row>
    <row r="127" spans="1:34" ht="16" x14ac:dyDescent="0.2">
      <c r="A127" s="42"/>
      <c r="B127" s="42"/>
      <c r="C127" s="42"/>
      <c r="D127" s="42"/>
      <c r="E127" s="42"/>
      <c r="F127" s="42"/>
      <c r="G127" s="42"/>
      <c r="H127" s="42"/>
      <c r="I127" s="42"/>
      <c r="J127" s="42"/>
      <c r="K127" s="141"/>
      <c r="L127" s="141"/>
      <c r="M127" s="141"/>
      <c r="N127" s="141"/>
      <c r="O127" s="42"/>
      <c r="P127" s="42"/>
      <c r="Q127" s="42"/>
      <c r="R127" s="42"/>
      <c r="S127" s="44" t="str">
        <f>IF(Personalização!B79=0,"",Personalização!B79)</f>
        <v/>
      </c>
      <c r="T127" s="45" t="str">
        <f>IF(Jan!G78=0,"",Jan!G78)</f>
        <v/>
      </c>
      <c r="U127" s="45" t="str">
        <f>IF(Fev!G78=0,"",Fev!G78)</f>
        <v/>
      </c>
      <c r="V127" s="45" t="str">
        <f>IF(Mar!G78=0,"",Mar!G78)</f>
        <v/>
      </c>
      <c r="W127" s="45" t="str">
        <f>IF(Abr!G78=0,"",Abr!G78)</f>
        <v/>
      </c>
      <c r="X127" s="45" t="str">
        <f>IF(Mai!G78=0,"",Mai!G78)</f>
        <v/>
      </c>
      <c r="Y127" s="45" t="str">
        <f>IF(Jun!G78=0,"",Jun!G78)</f>
        <v/>
      </c>
      <c r="Z127" s="45" t="str">
        <f>IF(Jul!G78=0,"",Jul!G78)</f>
        <v/>
      </c>
      <c r="AA127" s="45" t="str">
        <f>IF(Ago!G78=0,"",Ago!G78)</f>
        <v/>
      </c>
      <c r="AB127" s="45" t="str">
        <f>IF(Set!G78=0,"",Set!G78)</f>
        <v/>
      </c>
      <c r="AC127" s="45" t="str">
        <f>IF(Out!G78=0,"",Out!G78)</f>
        <v/>
      </c>
      <c r="AD127" s="45" t="str">
        <f>IF(Nov!G78=0,"",Nov!G78)</f>
        <v/>
      </c>
      <c r="AE127" s="45" t="str">
        <f>IF(Dez!G78=0,"",Dez!G78)</f>
        <v/>
      </c>
      <c r="AF127" s="42"/>
      <c r="AG127" s="42"/>
      <c r="AH127" s="42"/>
    </row>
    <row r="128" spans="1:34" ht="16" x14ac:dyDescent="0.2">
      <c r="A128" s="42"/>
      <c r="B128" s="42"/>
      <c r="C128" s="42"/>
      <c r="D128" s="42"/>
      <c r="E128" s="42"/>
      <c r="F128" s="42"/>
      <c r="G128" s="42"/>
      <c r="H128" s="42"/>
      <c r="I128" s="42"/>
      <c r="J128" s="42"/>
      <c r="K128" s="141"/>
      <c r="L128" s="141"/>
      <c r="M128" s="141"/>
      <c r="N128" s="141"/>
      <c r="O128" s="42"/>
      <c r="P128" s="42"/>
      <c r="Q128" s="42"/>
      <c r="R128" s="42"/>
      <c r="S128" s="44" t="str">
        <f>IF(Personalização!B80=0,"",Personalização!B80)</f>
        <v/>
      </c>
      <c r="T128" s="45" t="str">
        <f>IF(Jan!G79=0,"",Jan!G79)</f>
        <v/>
      </c>
      <c r="U128" s="45" t="str">
        <f>IF(Fev!G79=0,"",Fev!G79)</f>
        <v/>
      </c>
      <c r="V128" s="45" t="str">
        <f>IF(Mar!G79=0,"",Mar!G79)</f>
        <v/>
      </c>
      <c r="W128" s="45" t="str">
        <f>IF(Abr!G79=0,"",Abr!G79)</f>
        <v/>
      </c>
      <c r="X128" s="45" t="str">
        <f>IF(Mai!G79=0,"",Mai!G79)</f>
        <v/>
      </c>
      <c r="Y128" s="45" t="str">
        <f>IF(Jun!G79=0,"",Jun!G79)</f>
        <v/>
      </c>
      <c r="Z128" s="45" t="str">
        <f>IF(Jul!G79=0,"",Jul!G79)</f>
        <v/>
      </c>
      <c r="AA128" s="45" t="str">
        <f>IF(Ago!G79=0,"",Ago!G79)</f>
        <v/>
      </c>
      <c r="AB128" s="45" t="str">
        <f>IF(Set!G79=0,"",Set!G79)</f>
        <v/>
      </c>
      <c r="AC128" s="45" t="str">
        <f>IF(Out!G79=0,"",Out!G79)</f>
        <v/>
      </c>
      <c r="AD128" s="45" t="str">
        <f>IF(Nov!G79=0,"",Nov!G79)</f>
        <v/>
      </c>
      <c r="AE128" s="45" t="str">
        <f>IF(Dez!G79=0,"",Dez!G79)</f>
        <v/>
      </c>
      <c r="AF128" s="42"/>
      <c r="AG128" s="42"/>
      <c r="AH128" s="42"/>
    </row>
    <row r="129" spans="1:34" ht="16" x14ac:dyDescent="0.2">
      <c r="A129" s="42"/>
      <c r="B129" s="42"/>
      <c r="C129" s="42"/>
      <c r="D129" s="42"/>
      <c r="E129" s="42"/>
      <c r="F129" s="42"/>
      <c r="G129" s="42"/>
      <c r="H129" s="42"/>
      <c r="I129" s="42"/>
      <c r="J129" s="42"/>
      <c r="K129" s="141"/>
      <c r="L129" s="141"/>
      <c r="M129" s="141"/>
      <c r="N129" s="141"/>
      <c r="O129" s="42"/>
      <c r="P129" s="42"/>
      <c r="Q129" s="42"/>
      <c r="R129" s="42"/>
      <c r="S129" s="44" t="str">
        <f>IF(Personalização!B81=0,"",Personalização!B81)</f>
        <v/>
      </c>
      <c r="T129" s="45" t="str">
        <f>IF(Jan!G80=0,"",Jan!G80)</f>
        <v/>
      </c>
      <c r="U129" s="45" t="str">
        <f>IF(Fev!G80=0,"",Fev!G80)</f>
        <v/>
      </c>
      <c r="V129" s="45" t="str">
        <f>IF(Mar!G80=0,"",Mar!G80)</f>
        <v/>
      </c>
      <c r="W129" s="45" t="str">
        <f>IF(Abr!G80=0,"",Abr!G80)</f>
        <v/>
      </c>
      <c r="X129" s="45" t="str">
        <f>IF(Mai!G80=0,"",Mai!G80)</f>
        <v/>
      </c>
      <c r="Y129" s="45" t="str">
        <f>IF(Jun!G80=0,"",Jun!G80)</f>
        <v/>
      </c>
      <c r="Z129" s="45" t="str">
        <f>IF(Jul!G80=0,"",Jul!G80)</f>
        <v/>
      </c>
      <c r="AA129" s="45" t="str">
        <f>IF(Ago!G80=0,"",Ago!G80)</f>
        <v/>
      </c>
      <c r="AB129" s="45" t="str">
        <f>IF(Set!G80=0,"",Set!G80)</f>
        <v/>
      </c>
      <c r="AC129" s="45" t="str">
        <f>IF(Out!G80=0,"",Out!G80)</f>
        <v/>
      </c>
      <c r="AD129" s="45" t="str">
        <f>IF(Nov!G80=0,"",Nov!G80)</f>
        <v/>
      </c>
      <c r="AE129" s="45" t="str">
        <f>IF(Dez!G80=0,"",Dez!G80)</f>
        <v/>
      </c>
      <c r="AF129" s="42"/>
      <c r="AG129" s="42"/>
      <c r="AH129" s="42"/>
    </row>
    <row r="130" spans="1:34" ht="16" x14ac:dyDescent="0.2">
      <c r="A130" s="42"/>
      <c r="B130" s="42"/>
      <c r="C130" s="42"/>
      <c r="D130" s="42"/>
      <c r="E130" s="42"/>
      <c r="F130" s="42"/>
      <c r="G130" s="42"/>
      <c r="H130" s="42"/>
      <c r="I130" s="42"/>
      <c r="J130" s="42"/>
      <c r="K130" s="141"/>
      <c r="L130" s="141"/>
      <c r="M130" s="141"/>
      <c r="N130" s="141"/>
      <c r="O130" s="42"/>
      <c r="P130" s="42"/>
      <c r="Q130" s="42"/>
      <c r="R130" s="42"/>
      <c r="S130" s="44" t="str">
        <f>IF(Personalização!B82=0,"",Personalização!B82)</f>
        <v/>
      </c>
      <c r="T130" s="45" t="str">
        <f>IF(Jan!G81=0,"",Jan!G81)</f>
        <v/>
      </c>
      <c r="U130" s="45" t="str">
        <f>IF(Fev!G81=0,"",Fev!G81)</f>
        <v/>
      </c>
      <c r="V130" s="45" t="str">
        <f>IF(Mar!G81=0,"",Mar!G81)</f>
        <v/>
      </c>
      <c r="W130" s="45" t="str">
        <f>IF(Abr!G81=0,"",Abr!G81)</f>
        <v/>
      </c>
      <c r="X130" s="45" t="str">
        <f>IF(Mai!G81=0,"",Mai!G81)</f>
        <v/>
      </c>
      <c r="Y130" s="45" t="str">
        <f>IF(Jun!G81=0,"",Jun!G81)</f>
        <v/>
      </c>
      <c r="Z130" s="45" t="str">
        <f>IF(Jul!G81=0,"",Jul!G81)</f>
        <v/>
      </c>
      <c r="AA130" s="45" t="str">
        <f>IF(Ago!G81=0,"",Ago!G81)</f>
        <v/>
      </c>
      <c r="AB130" s="45" t="str">
        <f>IF(Set!G81=0,"",Set!G81)</f>
        <v/>
      </c>
      <c r="AC130" s="45" t="str">
        <f>IF(Out!G81=0,"",Out!G81)</f>
        <v/>
      </c>
      <c r="AD130" s="45" t="str">
        <f>IF(Nov!G81=0,"",Nov!G81)</f>
        <v/>
      </c>
      <c r="AE130" s="45" t="str">
        <f>IF(Dez!G81=0,"",Dez!G81)</f>
        <v/>
      </c>
      <c r="AF130" s="42"/>
      <c r="AG130" s="42"/>
      <c r="AH130" s="42"/>
    </row>
    <row r="131" spans="1:34" ht="16" x14ac:dyDescent="0.2">
      <c r="A131" s="42"/>
      <c r="B131" s="42"/>
      <c r="C131" s="42"/>
      <c r="D131" s="42"/>
      <c r="E131" s="42"/>
      <c r="F131" s="42"/>
      <c r="G131" s="42"/>
      <c r="H131" s="42"/>
      <c r="I131" s="42"/>
      <c r="J131" s="42"/>
      <c r="K131" s="141"/>
      <c r="L131" s="141"/>
      <c r="M131" s="141"/>
      <c r="N131" s="141"/>
      <c r="O131" s="42"/>
      <c r="P131" s="42"/>
      <c r="Q131" s="42"/>
      <c r="R131" s="42"/>
      <c r="S131" s="44" t="str">
        <f>IF(Personalização!B83=0,"",Personalização!B83)</f>
        <v/>
      </c>
      <c r="T131" s="45" t="str">
        <f>IF(Jan!G82=0,"",Jan!G82)</f>
        <v/>
      </c>
      <c r="U131" s="45" t="str">
        <f>IF(Fev!G82=0,"",Fev!G82)</f>
        <v/>
      </c>
      <c r="V131" s="45" t="str">
        <f>IF(Mar!G82=0,"",Mar!G82)</f>
        <v/>
      </c>
      <c r="W131" s="45" t="str">
        <f>IF(Abr!G82=0,"",Abr!G82)</f>
        <v/>
      </c>
      <c r="X131" s="45" t="str">
        <f>IF(Mai!G82=0,"",Mai!G82)</f>
        <v/>
      </c>
      <c r="Y131" s="45" t="str">
        <f>IF(Jun!G82=0,"",Jun!G82)</f>
        <v/>
      </c>
      <c r="Z131" s="45" t="str">
        <f>IF(Jul!G82=0,"",Jul!G82)</f>
        <v/>
      </c>
      <c r="AA131" s="45" t="str">
        <f>IF(Ago!G82=0,"",Ago!G82)</f>
        <v/>
      </c>
      <c r="AB131" s="45" t="str">
        <f>IF(Set!G82=0,"",Set!G82)</f>
        <v/>
      </c>
      <c r="AC131" s="45" t="str">
        <f>IF(Out!G82=0,"",Out!G82)</f>
        <v/>
      </c>
      <c r="AD131" s="45" t="str">
        <f>IF(Nov!G82=0,"",Nov!G82)</f>
        <v/>
      </c>
      <c r="AE131" s="45" t="str">
        <f>IF(Dez!G82=0,"",Dez!G82)</f>
        <v/>
      </c>
      <c r="AF131" s="42"/>
      <c r="AG131" s="42"/>
      <c r="AH131" s="42"/>
    </row>
    <row r="132" spans="1:34" ht="16" x14ac:dyDescent="0.2">
      <c r="A132" s="42"/>
      <c r="B132" s="42"/>
      <c r="C132" s="42"/>
      <c r="D132" s="42"/>
      <c r="E132" s="42"/>
      <c r="F132" s="42"/>
      <c r="G132" s="42"/>
      <c r="H132" s="42"/>
      <c r="I132" s="42"/>
      <c r="J132" s="42"/>
      <c r="K132" s="141"/>
      <c r="L132" s="141"/>
      <c r="M132" s="141"/>
      <c r="N132" s="141"/>
      <c r="O132" s="42"/>
      <c r="P132" s="42"/>
      <c r="Q132" s="42"/>
      <c r="R132" s="42"/>
      <c r="S132" s="44" t="str">
        <f>IF(Personalização!B84=0,"",Personalização!B84)</f>
        <v/>
      </c>
      <c r="T132" s="45" t="str">
        <f>IF(Jan!G83=0,"",Jan!G83)</f>
        <v/>
      </c>
      <c r="U132" s="45" t="str">
        <f>IF(Fev!G83=0,"",Fev!G83)</f>
        <v/>
      </c>
      <c r="V132" s="45" t="str">
        <f>IF(Mar!G83=0,"",Mar!G83)</f>
        <v/>
      </c>
      <c r="W132" s="45" t="str">
        <f>IF(Abr!G83=0,"",Abr!G83)</f>
        <v/>
      </c>
      <c r="X132" s="45" t="str">
        <f>IF(Mai!G83=0,"",Mai!G83)</f>
        <v/>
      </c>
      <c r="Y132" s="45" t="str">
        <f>IF(Jun!G83=0,"",Jun!G83)</f>
        <v/>
      </c>
      <c r="Z132" s="45" t="str">
        <f>IF(Jul!G83=0,"",Jul!G83)</f>
        <v/>
      </c>
      <c r="AA132" s="45" t="str">
        <f>IF(Ago!G83=0,"",Ago!G83)</f>
        <v/>
      </c>
      <c r="AB132" s="45" t="str">
        <f>IF(Set!G83=0,"",Set!G83)</f>
        <v/>
      </c>
      <c r="AC132" s="45" t="str">
        <f>IF(Out!G83=0,"",Out!G83)</f>
        <v/>
      </c>
      <c r="AD132" s="45" t="str">
        <f>IF(Nov!G83=0,"",Nov!G83)</f>
        <v/>
      </c>
      <c r="AE132" s="45" t="str">
        <f>IF(Dez!G83=0,"",Dez!G83)</f>
        <v/>
      </c>
      <c r="AF132" s="42"/>
      <c r="AG132" s="42"/>
      <c r="AH132" s="42"/>
    </row>
    <row r="133" spans="1:34" ht="16" x14ac:dyDescent="0.2">
      <c r="A133" s="42"/>
      <c r="B133" s="42"/>
      <c r="C133" s="42"/>
      <c r="D133" s="42"/>
      <c r="E133" s="42"/>
      <c r="F133" s="42"/>
      <c r="G133" s="42"/>
      <c r="H133" s="42"/>
      <c r="I133" s="42"/>
      <c r="J133" s="42"/>
      <c r="K133" s="141"/>
      <c r="L133" s="141"/>
      <c r="M133" s="141"/>
      <c r="N133" s="141"/>
      <c r="O133" s="42"/>
      <c r="P133" s="42"/>
      <c r="Q133" s="42"/>
      <c r="R133" s="42"/>
      <c r="S133" s="44" t="str">
        <f>IF(Personalização!B85=0,"",Personalização!B85)</f>
        <v/>
      </c>
      <c r="T133" s="45" t="str">
        <f>IF(Jan!G84=0,"",Jan!G84)</f>
        <v/>
      </c>
      <c r="U133" s="45" t="str">
        <f>IF(Fev!G84=0,"",Fev!G84)</f>
        <v/>
      </c>
      <c r="V133" s="45" t="str">
        <f>IF(Mar!G84=0,"",Mar!G84)</f>
        <v/>
      </c>
      <c r="W133" s="45" t="str">
        <f>IF(Abr!G84=0,"",Abr!G84)</f>
        <v/>
      </c>
      <c r="X133" s="45" t="str">
        <f>IF(Mai!G84=0,"",Mai!G84)</f>
        <v/>
      </c>
      <c r="Y133" s="45" t="str">
        <f>IF(Jun!G84=0,"",Jun!G84)</f>
        <v/>
      </c>
      <c r="Z133" s="45" t="str">
        <f>IF(Jul!G84=0,"",Jul!G84)</f>
        <v/>
      </c>
      <c r="AA133" s="45" t="str">
        <f>IF(Ago!G84=0,"",Ago!G84)</f>
        <v/>
      </c>
      <c r="AB133" s="45" t="str">
        <f>IF(Set!G84=0,"",Set!G84)</f>
        <v/>
      </c>
      <c r="AC133" s="45" t="str">
        <f>IF(Out!G84=0,"",Out!G84)</f>
        <v/>
      </c>
      <c r="AD133" s="45" t="str">
        <f>IF(Nov!G84=0,"",Nov!G84)</f>
        <v/>
      </c>
      <c r="AE133" s="45" t="str">
        <f>IF(Dez!G84=0,"",Dez!G84)</f>
        <v/>
      </c>
      <c r="AF133" s="42"/>
      <c r="AG133" s="42"/>
      <c r="AH133" s="42"/>
    </row>
    <row r="134" spans="1:34" ht="16" x14ac:dyDescent="0.2">
      <c r="A134" s="42"/>
      <c r="B134" s="42"/>
      <c r="C134" s="42"/>
      <c r="D134" s="42"/>
      <c r="E134" s="42"/>
      <c r="F134" s="42"/>
      <c r="G134" s="42"/>
      <c r="H134" s="42"/>
      <c r="I134" s="42"/>
      <c r="J134" s="42"/>
      <c r="K134" s="141"/>
      <c r="L134" s="141"/>
      <c r="M134" s="141"/>
      <c r="N134" s="141"/>
      <c r="O134" s="42"/>
      <c r="P134" s="42"/>
      <c r="Q134" s="42"/>
      <c r="R134" s="42"/>
      <c r="S134" s="44" t="str">
        <f>IF(Personalização!B86=0,"",Personalização!B86)</f>
        <v/>
      </c>
      <c r="T134" s="45" t="str">
        <f>IF(Jan!G85=0,"",Jan!G85)</f>
        <v/>
      </c>
      <c r="U134" s="45" t="str">
        <f>IF(Fev!G85=0,"",Fev!G85)</f>
        <v/>
      </c>
      <c r="V134" s="45" t="str">
        <f>IF(Mar!G85=0,"",Mar!G85)</f>
        <v/>
      </c>
      <c r="W134" s="45" t="str">
        <f>IF(Abr!G85=0,"",Abr!G85)</f>
        <v/>
      </c>
      <c r="X134" s="45" t="str">
        <f>IF(Mai!G85=0,"",Mai!G85)</f>
        <v/>
      </c>
      <c r="Y134" s="45" t="str">
        <f>IF(Jun!G85=0,"",Jun!G85)</f>
        <v/>
      </c>
      <c r="Z134" s="45" t="str">
        <f>IF(Jul!G85=0,"",Jul!G85)</f>
        <v/>
      </c>
      <c r="AA134" s="45" t="str">
        <f>IF(Ago!G85=0,"",Ago!G85)</f>
        <v/>
      </c>
      <c r="AB134" s="45" t="str">
        <f>IF(Set!G85=0,"",Set!G85)</f>
        <v/>
      </c>
      <c r="AC134" s="45" t="str">
        <f>IF(Out!G85=0,"",Out!G85)</f>
        <v/>
      </c>
      <c r="AD134" s="45" t="str">
        <f>IF(Nov!G85=0,"",Nov!G85)</f>
        <v/>
      </c>
      <c r="AE134" s="45" t="str">
        <f>IF(Dez!G85=0,"",Dez!G85)</f>
        <v/>
      </c>
      <c r="AF134" s="42"/>
      <c r="AG134" s="42"/>
      <c r="AH134" s="42"/>
    </row>
    <row r="135" spans="1:34" ht="16" x14ac:dyDescent="0.2">
      <c r="A135" s="42"/>
      <c r="B135" s="42"/>
      <c r="C135" s="42"/>
      <c r="D135" s="42"/>
      <c r="E135" s="42"/>
      <c r="F135" s="42"/>
      <c r="G135" s="42"/>
      <c r="H135" s="42"/>
      <c r="I135" s="42"/>
      <c r="J135" s="42"/>
      <c r="K135" s="141"/>
      <c r="L135" s="141"/>
      <c r="M135" s="141"/>
      <c r="N135" s="141"/>
      <c r="O135" s="42"/>
      <c r="P135" s="42"/>
      <c r="Q135" s="42"/>
      <c r="R135" s="42"/>
      <c r="S135" s="44" t="str">
        <f>IF(Personalização!B87=0,"",Personalização!B87)</f>
        <v/>
      </c>
      <c r="T135" s="45" t="str">
        <f>IF(Jan!G86=0,"",Jan!G86)</f>
        <v/>
      </c>
      <c r="U135" s="45" t="str">
        <f>IF(Fev!G86=0,"",Fev!G86)</f>
        <v/>
      </c>
      <c r="V135" s="45" t="str">
        <f>IF(Mar!G86=0,"",Mar!G86)</f>
        <v/>
      </c>
      <c r="W135" s="45" t="str">
        <f>IF(Abr!G86=0,"",Abr!G86)</f>
        <v/>
      </c>
      <c r="X135" s="45" t="str">
        <f>IF(Mai!G86=0,"",Mai!G86)</f>
        <v/>
      </c>
      <c r="Y135" s="45" t="str">
        <f>IF(Jun!G86=0,"",Jun!G86)</f>
        <v/>
      </c>
      <c r="Z135" s="45" t="str">
        <f>IF(Jul!G86=0,"",Jul!G86)</f>
        <v/>
      </c>
      <c r="AA135" s="45" t="str">
        <f>IF(Ago!G86=0,"",Ago!G86)</f>
        <v/>
      </c>
      <c r="AB135" s="45" t="str">
        <f>IF(Set!G86=0,"",Set!G86)</f>
        <v/>
      </c>
      <c r="AC135" s="45" t="str">
        <f>IF(Out!G86=0,"",Out!G86)</f>
        <v/>
      </c>
      <c r="AD135" s="45" t="str">
        <f>IF(Nov!G86=0,"",Nov!G86)</f>
        <v/>
      </c>
      <c r="AE135" s="45" t="str">
        <f>IF(Dez!G86=0,"",Dez!G86)</f>
        <v/>
      </c>
      <c r="AF135" s="42"/>
      <c r="AG135" s="42"/>
      <c r="AH135" s="42"/>
    </row>
    <row r="136" spans="1:34" ht="16" x14ac:dyDescent="0.2">
      <c r="A136" s="42"/>
      <c r="B136" s="42"/>
      <c r="C136" s="42"/>
      <c r="D136" s="42"/>
      <c r="E136" s="42"/>
      <c r="F136" s="42"/>
      <c r="G136" s="42"/>
      <c r="H136" s="42"/>
      <c r="I136" s="42"/>
      <c r="J136" s="42"/>
      <c r="K136" s="141"/>
      <c r="L136" s="141"/>
      <c r="M136" s="141"/>
      <c r="N136" s="141"/>
      <c r="O136" s="42"/>
      <c r="P136" s="42"/>
      <c r="Q136" s="42"/>
      <c r="R136" s="42"/>
      <c r="S136" s="44" t="str">
        <f>IF(Personalização!B88=0,"",Personalização!B88)</f>
        <v/>
      </c>
      <c r="T136" s="45" t="str">
        <f>IF(Jan!G87=0,"",Jan!G87)</f>
        <v/>
      </c>
      <c r="U136" s="45" t="str">
        <f>IF(Fev!G87=0,"",Fev!G87)</f>
        <v/>
      </c>
      <c r="V136" s="45" t="str">
        <f>IF(Mar!G87=0,"",Mar!G87)</f>
        <v/>
      </c>
      <c r="W136" s="45" t="str">
        <f>IF(Abr!G87=0,"",Abr!G87)</f>
        <v/>
      </c>
      <c r="X136" s="45" t="str">
        <f>IF(Mai!G87=0,"",Mai!G87)</f>
        <v/>
      </c>
      <c r="Y136" s="45" t="str">
        <f>IF(Jun!G87=0,"",Jun!G87)</f>
        <v/>
      </c>
      <c r="Z136" s="45" t="str">
        <f>IF(Jul!G87=0,"",Jul!G87)</f>
        <v/>
      </c>
      <c r="AA136" s="45" t="str">
        <f>IF(Ago!G87=0,"",Ago!G87)</f>
        <v/>
      </c>
      <c r="AB136" s="45" t="str">
        <f>IF(Set!G87=0,"",Set!G87)</f>
        <v/>
      </c>
      <c r="AC136" s="45" t="str">
        <f>IF(Out!G87=0,"",Out!G87)</f>
        <v/>
      </c>
      <c r="AD136" s="45" t="str">
        <f>IF(Nov!G87=0,"",Nov!G87)</f>
        <v/>
      </c>
      <c r="AE136" s="45" t="str">
        <f>IF(Dez!G87=0,"",Dez!G87)</f>
        <v/>
      </c>
      <c r="AF136" s="42"/>
      <c r="AG136" s="42"/>
      <c r="AH136" s="42"/>
    </row>
    <row r="137" spans="1:34" ht="16" x14ac:dyDescent="0.2">
      <c r="A137" s="42"/>
      <c r="B137" s="42"/>
      <c r="C137" s="42"/>
      <c r="D137" s="42"/>
      <c r="E137" s="42"/>
      <c r="F137" s="42"/>
      <c r="G137" s="42"/>
      <c r="H137" s="42"/>
      <c r="I137" s="42"/>
      <c r="J137" s="42"/>
      <c r="K137" s="141"/>
      <c r="L137" s="141"/>
      <c r="M137" s="141"/>
      <c r="N137" s="141"/>
      <c r="O137" s="42"/>
      <c r="P137" s="42"/>
      <c r="Q137" s="42"/>
      <c r="R137" s="42"/>
      <c r="S137" s="44" t="str">
        <f>IF(Personalização!B89=0,"",Personalização!B89)</f>
        <v/>
      </c>
      <c r="T137" s="45" t="str">
        <f>IF(Jan!G88=0,"",Jan!G88)</f>
        <v/>
      </c>
      <c r="U137" s="45" t="str">
        <f>IF(Fev!G88=0,"",Fev!G88)</f>
        <v/>
      </c>
      <c r="V137" s="45" t="str">
        <f>IF(Mar!G88=0,"",Mar!G88)</f>
        <v/>
      </c>
      <c r="W137" s="45" t="str">
        <f>IF(Abr!G88=0,"",Abr!G88)</f>
        <v/>
      </c>
      <c r="X137" s="45" t="str">
        <f>IF(Mai!G88=0,"",Mai!G88)</f>
        <v/>
      </c>
      <c r="Y137" s="45" t="str">
        <f>IF(Jun!G88=0,"",Jun!G88)</f>
        <v/>
      </c>
      <c r="Z137" s="45" t="str">
        <f>IF(Jul!G88=0,"",Jul!G88)</f>
        <v/>
      </c>
      <c r="AA137" s="45" t="str">
        <f>IF(Ago!G88=0,"",Ago!G88)</f>
        <v/>
      </c>
      <c r="AB137" s="45" t="str">
        <f>IF(Set!G88=0,"",Set!G88)</f>
        <v/>
      </c>
      <c r="AC137" s="45" t="str">
        <f>IF(Out!G88=0,"",Out!G88)</f>
        <v/>
      </c>
      <c r="AD137" s="45" t="str">
        <f>IF(Nov!G88=0,"",Nov!G88)</f>
        <v/>
      </c>
      <c r="AE137" s="45" t="str">
        <f>IF(Dez!G88=0,"",Dez!G88)</f>
        <v/>
      </c>
      <c r="AF137" s="42"/>
      <c r="AG137" s="42"/>
      <c r="AH137" s="42"/>
    </row>
    <row r="138" spans="1:34" ht="16" x14ac:dyDescent="0.2">
      <c r="A138" s="42"/>
      <c r="B138" s="42"/>
      <c r="C138" s="42"/>
      <c r="D138" s="42"/>
      <c r="E138" s="42"/>
      <c r="F138" s="42"/>
      <c r="G138" s="42"/>
      <c r="H138" s="42"/>
      <c r="I138" s="42"/>
      <c r="J138" s="42"/>
      <c r="K138" s="141"/>
      <c r="L138" s="141"/>
      <c r="M138" s="141"/>
      <c r="N138" s="141"/>
      <c r="O138" s="42"/>
      <c r="P138" s="42"/>
      <c r="Q138" s="42"/>
      <c r="R138" s="42"/>
      <c r="S138" s="44" t="str">
        <f>IF(Personalização!B90=0,"",Personalização!B90)</f>
        <v/>
      </c>
      <c r="T138" s="45" t="str">
        <f>IF(Jan!G89=0,"",Jan!G89)</f>
        <v/>
      </c>
      <c r="U138" s="45" t="str">
        <f>IF(Fev!G89=0,"",Fev!G89)</f>
        <v/>
      </c>
      <c r="V138" s="45" t="str">
        <f>IF(Mar!G89=0,"",Mar!G89)</f>
        <v/>
      </c>
      <c r="W138" s="45" t="str">
        <f>IF(Abr!G89=0,"",Abr!G89)</f>
        <v/>
      </c>
      <c r="X138" s="45" t="str">
        <f>IF(Mai!G89=0,"",Mai!G89)</f>
        <v/>
      </c>
      <c r="Y138" s="45" t="str">
        <f>IF(Jun!G89=0,"",Jun!G89)</f>
        <v/>
      </c>
      <c r="Z138" s="45" t="str">
        <f>IF(Jul!G89=0,"",Jul!G89)</f>
        <v/>
      </c>
      <c r="AA138" s="45" t="str">
        <f>IF(Ago!G89=0,"",Ago!G89)</f>
        <v/>
      </c>
      <c r="AB138" s="45" t="str">
        <f>IF(Set!G89=0,"",Set!G89)</f>
        <v/>
      </c>
      <c r="AC138" s="45" t="str">
        <f>IF(Out!G89=0,"",Out!G89)</f>
        <v/>
      </c>
      <c r="AD138" s="45" t="str">
        <f>IF(Nov!G89=0,"",Nov!G89)</f>
        <v/>
      </c>
      <c r="AE138" s="45" t="str">
        <f>IF(Dez!G89=0,"",Dez!G89)</f>
        <v/>
      </c>
      <c r="AF138" s="42"/>
      <c r="AG138" s="42"/>
      <c r="AH138" s="42"/>
    </row>
    <row r="139" spans="1:34" ht="16" x14ac:dyDescent="0.2">
      <c r="A139" s="42"/>
      <c r="B139" s="42"/>
      <c r="C139" s="42"/>
      <c r="D139" s="42"/>
      <c r="E139" s="42"/>
      <c r="F139" s="42"/>
      <c r="G139" s="42"/>
      <c r="H139" s="42"/>
      <c r="I139" s="42"/>
      <c r="J139" s="42"/>
      <c r="K139" s="141"/>
      <c r="L139" s="141"/>
      <c r="M139" s="141"/>
      <c r="N139" s="141"/>
      <c r="O139" s="42"/>
      <c r="P139" s="42"/>
      <c r="Q139" s="42"/>
      <c r="R139" s="42"/>
      <c r="S139" s="44" t="str">
        <f>IF(Personalização!B91=0,"",Personalização!B91)</f>
        <v/>
      </c>
      <c r="T139" s="45" t="str">
        <f>IF(Jan!G90=0,"",Jan!G90)</f>
        <v/>
      </c>
      <c r="U139" s="45" t="str">
        <f>IF(Fev!G90=0,"",Fev!G90)</f>
        <v/>
      </c>
      <c r="V139" s="45" t="str">
        <f>IF(Mar!G90=0,"",Mar!G90)</f>
        <v/>
      </c>
      <c r="W139" s="45" t="str">
        <f>IF(Abr!G90=0,"",Abr!G90)</f>
        <v/>
      </c>
      <c r="X139" s="45" t="str">
        <f>IF(Mai!G90=0,"",Mai!G90)</f>
        <v/>
      </c>
      <c r="Y139" s="45" t="str">
        <f>IF(Jun!G90=0,"",Jun!G90)</f>
        <v/>
      </c>
      <c r="Z139" s="45" t="str">
        <f>IF(Jul!G90=0,"",Jul!G90)</f>
        <v/>
      </c>
      <c r="AA139" s="45" t="str">
        <f>IF(Ago!G90=0,"",Ago!G90)</f>
        <v/>
      </c>
      <c r="AB139" s="45" t="str">
        <f>IF(Set!G90=0,"",Set!G90)</f>
        <v/>
      </c>
      <c r="AC139" s="45" t="str">
        <f>IF(Out!G90=0,"",Out!G90)</f>
        <v/>
      </c>
      <c r="AD139" s="45" t="str">
        <f>IF(Nov!G90=0,"",Nov!G90)</f>
        <v/>
      </c>
      <c r="AE139" s="45" t="str">
        <f>IF(Dez!G90=0,"",Dez!G90)</f>
        <v/>
      </c>
      <c r="AF139" s="42"/>
      <c r="AG139" s="42"/>
      <c r="AH139" s="42"/>
    </row>
    <row r="140" spans="1:34" ht="16" x14ac:dyDescent="0.2">
      <c r="A140" s="42"/>
      <c r="B140" s="42"/>
      <c r="C140" s="42"/>
      <c r="D140" s="42"/>
      <c r="E140" s="42"/>
      <c r="F140" s="42"/>
      <c r="G140" s="42"/>
      <c r="H140" s="42"/>
      <c r="I140" s="42"/>
      <c r="J140" s="42"/>
      <c r="K140" s="141"/>
      <c r="L140" s="141"/>
      <c r="M140" s="141"/>
      <c r="N140" s="141"/>
      <c r="O140" s="42"/>
      <c r="P140" s="42"/>
      <c r="Q140" s="42"/>
      <c r="R140" s="42"/>
      <c r="S140" s="44" t="str">
        <f>IF(Personalização!B92=0,"",Personalização!B92)</f>
        <v/>
      </c>
      <c r="T140" s="45" t="str">
        <f>IF(Jan!G91=0,"",Jan!G91)</f>
        <v/>
      </c>
      <c r="U140" s="45" t="str">
        <f>IF(Fev!G91=0,"",Fev!G91)</f>
        <v/>
      </c>
      <c r="V140" s="45" t="str">
        <f>IF(Mar!G91=0,"",Mar!G91)</f>
        <v/>
      </c>
      <c r="W140" s="45" t="str">
        <f>IF(Abr!G91=0,"",Abr!G91)</f>
        <v/>
      </c>
      <c r="X140" s="45" t="str">
        <f>IF(Mai!G91=0,"",Mai!G91)</f>
        <v/>
      </c>
      <c r="Y140" s="45" t="str">
        <f>IF(Jun!G91=0,"",Jun!G91)</f>
        <v/>
      </c>
      <c r="Z140" s="45" t="str">
        <f>IF(Jul!G91=0,"",Jul!G91)</f>
        <v/>
      </c>
      <c r="AA140" s="45" t="str">
        <f>IF(Ago!G91=0,"",Ago!G91)</f>
        <v/>
      </c>
      <c r="AB140" s="45" t="str">
        <f>IF(Set!G91=0,"",Set!G91)</f>
        <v/>
      </c>
      <c r="AC140" s="45" t="str">
        <f>IF(Out!G91=0,"",Out!G91)</f>
        <v/>
      </c>
      <c r="AD140" s="45" t="str">
        <f>IF(Nov!G91=0,"",Nov!G91)</f>
        <v/>
      </c>
      <c r="AE140" s="45" t="str">
        <f>IF(Dez!G91=0,"",Dez!G91)</f>
        <v/>
      </c>
      <c r="AF140" s="42"/>
      <c r="AG140" s="42"/>
      <c r="AH140" s="42"/>
    </row>
    <row r="141" spans="1:34" ht="16" x14ac:dyDescent="0.2">
      <c r="A141" s="42"/>
      <c r="B141" s="42"/>
      <c r="C141" s="42"/>
      <c r="D141" s="42"/>
      <c r="E141" s="42"/>
      <c r="F141" s="42"/>
      <c r="G141" s="42"/>
      <c r="H141" s="42"/>
      <c r="I141" s="42"/>
      <c r="J141" s="42"/>
      <c r="K141" s="141"/>
      <c r="L141" s="141"/>
      <c r="M141" s="141"/>
      <c r="N141" s="141"/>
      <c r="O141" s="42"/>
      <c r="P141" s="42"/>
      <c r="Q141" s="42"/>
      <c r="R141" s="42"/>
      <c r="S141" s="44" t="str">
        <f>IF(Personalização!B93=0,"",Personalização!B93)</f>
        <v/>
      </c>
      <c r="T141" s="45" t="str">
        <f>IF(Jan!G92=0,"",Jan!G92)</f>
        <v/>
      </c>
      <c r="U141" s="45" t="str">
        <f>IF(Fev!G92=0,"",Fev!G92)</f>
        <v/>
      </c>
      <c r="V141" s="45" t="str">
        <f>IF(Mar!G92=0,"",Mar!G92)</f>
        <v/>
      </c>
      <c r="W141" s="45" t="str">
        <f>IF(Abr!G92=0,"",Abr!G92)</f>
        <v/>
      </c>
      <c r="X141" s="45" t="str">
        <f>IF(Mai!G92=0,"",Mai!G92)</f>
        <v/>
      </c>
      <c r="Y141" s="45" t="str">
        <f>IF(Jun!G92=0,"",Jun!G92)</f>
        <v/>
      </c>
      <c r="Z141" s="45" t="str">
        <f>IF(Jul!G92=0,"",Jul!G92)</f>
        <v/>
      </c>
      <c r="AA141" s="45" t="str">
        <f>IF(Ago!G92=0,"",Ago!G92)</f>
        <v/>
      </c>
      <c r="AB141" s="45" t="str">
        <f>IF(Set!G92=0,"",Set!G92)</f>
        <v/>
      </c>
      <c r="AC141" s="45" t="str">
        <f>IF(Out!G92=0,"",Out!G92)</f>
        <v/>
      </c>
      <c r="AD141" s="45" t="str">
        <f>IF(Nov!G92=0,"",Nov!G92)</f>
        <v/>
      </c>
      <c r="AE141" s="45" t="str">
        <f>IF(Dez!G92=0,"",Dez!G92)</f>
        <v/>
      </c>
      <c r="AF141" s="42"/>
      <c r="AG141" s="42"/>
      <c r="AH141" s="42"/>
    </row>
    <row r="142" spans="1:34" ht="16" x14ac:dyDescent="0.2">
      <c r="A142" s="42"/>
      <c r="B142" s="42"/>
      <c r="C142" s="42"/>
      <c r="D142" s="42"/>
      <c r="E142" s="42"/>
      <c r="F142" s="42"/>
      <c r="G142" s="42"/>
      <c r="H142" s="42"/>
      <c r="I142" s="42"/>
      <c r="J142" s="42"/>
      <c r="K142" s="141"/>
      <c r="L142" s="141"/>
      <c r="M142" s="141"/>
      <c r="N142" s="141"/>
      <c r="O142" s="42"/>
      <c r="P142" s="42"/>
      <c r="Q142" s="42"/>
      <c r="R142" s="42"/>
      <c r="S142" s="44" t="str">
        <f>IF(Personalização!B94=0,"",Personalização!B94)</f>
        <v/>
      </c>
      <c r="T142" s="45" t="str">
        <f>IF(Jan!G93=0,"",Jan!G93)</f>
        <v/>
      </c>
      <c r="U142" s="45" t="str">
        <f>IF(Fev!G93=0,"",Fev!G93)</f>
        <v/>
      </c>
      <c r="V142" s="45" t="str">
        <f>IF(Mar!G93=0,"",Mar!G93)</f>
        <v/>
      </c>
      <c r="W142" s="45" t="str">
        <f>IF(Abr!G93=0,"",Abr!G93)</f>
        <v/>
      </c>
      <c r="X142" s="45" t="str">
        <f>IF(Mai!G93=0,"",Mai!G93)</f>
        <v/>
      </c>
      <c r="Y142" s="45" t="str">
        <f>IF(Jun!G93=0,"",Jun!G93)</f>
        <v/>
      </c>
      <c r="Z142" s="45" t="str">
        <f>IF(Jul!G93=0,"",Jul!G93)</f>
        <v/>
      </c>
      <c r="AA142" s="45" t="str">
        <f>IF(Ago!G93=0,"",Ago!G93)</f>
        <v/>
      </c>
      <c r="AB142" s="45" t="str">
        <f>IF(Set!G93=0,"",Set!G93)</f>
        <v/>
      </c>
      <c r="AC142" s="45" t="str">
        <f>IF(Out!G93=0,"",Out!G93)</f>
        <v/>
      </c>
      <c r="AD142" s="45" t="str">
        <f>IF(Nov!G93=0,"",Nov!G93)</f>
        <v/>
      </c>
      <c r="AE142" s="45" t="str">
        <f>IF(Dez!G93=0,"",Dez!G93)</f>
        <v/>
      </c>
      <c r="AF142" s="42"/>
      <c r="AG142" s="42"/>
      <c r="AH142" s="42"/>
    </row>
    <row r="143" spans="1:34" ht="16" x14ac:dyDescent="0.2">
      <c r="A143" s="42"/>
      <c r="B143" s="42"/>
      <c r="C143" s="42"/>
      <c r="D143" s="42"/>
      <c r="E143" s="42"/>
      <c r="F143" s="42"/>
      <c r="G143" s="42"/>
      <c r="H143" s="42"/>
      <c r="I143" s="42"/>
      <c r="J143" s="42"/>
      <c r="K143" s="141"/>
      <c r="L143" s="141"/>
      <c r="M143" s="141"/>
      <c r="N143" s="141"/>
      <c r="O143" s="42"/>
      <c r="P143" s="42"/>
      <c r="Q143" s="42"/>
      <c r="R143" s="42"/>
      <c r="S143" s="44" t="str">
        <f>IF(Personalização!B95=0,"",Personalização!B95)</f>
        <v/>
      </c>
      <c r="T143" s="45" t="str">
        <f>IF(Jan!G94=0,"",Jan!G94)</f>
        <v/>
      </c>
      <c r="U143" s="45" t="str">
        <f>IF(Fev!G94=0,"",Fev!G94)</f>
        <v/>
      </c>
      <c r="V143" s="45" t="str">
        <f>IF(Mar!G94=0,"",Mar!G94)</f>
        <v/>
      </c>
      <c r="W143" s="45" t="str">
        <f>IF(Abr!G94=0,"",Abr!G94)</f>
        <v/>
      </c>
      <c r="X143" s="45" t="str">
        <f>IF(Mai!G94=0,"",Mai!G94)</f>
        <v/>
      </c>
      <c r="Y143" s="45" t="str">
        <f>IF(Jun!G94=0,"",Jun!G94)</f>
        <v/>
      </c>
      <c r="Z143" s="45" t="str">
        <f>IF(Jul!G94=0,"",Jul!G94)</f>
        <v/>
      </c>
      <c r="AA143" s="45" t="str">
        <f>IF(Ago!G94=0,"",Ago!G94)</f>
        <v/>
      </c>
      <c r="AB143" s="45" t="str">
        <f>IF(Set!G94=0,"",Set!G94)</f>
        <v/>
      </c>
      <c r="AC143" s="45" t="str">
        <f>IF(Out!G94=0,"",Out!G94)</f>
        <v/>
      </c>
      <c r="AD143" s="45" t="str">
        <f>IF(Nov!G94=0,"",Nov!G94)</f>
        <v/>
      </c>
      <c r="AE143" s="45" t="str">
        <f>IF(Dez!G94=0,"",Dez!G94)</f>
        <v/>
      </c>
      <c r="AF143" s="42"/>
      <c r="AG143" s="42"/>
      <c r="AH143" s="42"/>
    </row>
    <row r="144" spans="1:34" ht="16" x14ac:dyDescent="0.2">
      <c r="A144" s="42"/>
      <c r="B144" s="42"/>
      <c r="C144" s="42"/>
      <c r="D144" s="42"/>
      <c r="E144" s="42"/>
      <c r="F144" s="42"/>
      <c r="G144" s="42"/>
      <c r="H144" s="42"/>
      <c r="I144" s="42"/>
      <c r="J144" s="42"/>
      <c r="K144" s="141"/>
      <c r="L144" s="141"/>
      <c r="M144" s="141"/>
      <c r="N144" s="141"/>
      <c r="O144" s="42"/>
      <c r="P144" s="42"/>
      <c r="Q144" s="42"/>
      <c r="R144" s="42"/>
      <c r="S144" s="44" t="str">
        <f>IF(Personalização!B96=0,"",Personalização!B96)</f>
        <v/>
      </c>
      <c r="T144" s="45" t="str">
        <f>IF(Jan!G95=0,"",Jan!G95)</f>
        <v/>
      </c>
      <c r="U144" s="45" t="str">
        <f>IF(Fev!G95=0,"",Fev!G95)</f>
        <v/>
      </c>
      <c r="V144" s="45" t="str">
        <f>IF(Mar!G95=0,"",Mar!G95)</f>
        <v/>
      </c>
      <c r="W144" s="45" t="str">
        <f>IF(Abr!G95=0,"",Abr!G95)</f>
        <v/>
      </c>
      <c r="X144" s="45" t="str">
        <f>IF(Mai!G95=0,"",Mai!G95)</f>
        <v/>
      </c>
      <c r="Y144" s="45" t="str">
        <f>IF(Jun!G95=0,"",Jun!G95)</f>
        <v/>
      </c>
      <c r="Z144" s="45" t="str">
        <f>IF(Jul!G95=0,"",Jul!G95)</f>
        <v/>
      </c>
      <c r="AA144" s="45" t="str">
        <f>IF(Ago!G95=0,"",Ago!G95)</f>
        <v/>
      </c>
      <c r="AB144" s="45" t="str">
        <f>IF(Set!G95=0,"",Set!G95)</f>
        <v/>
      </c>
      <c r="AC144" s="45" t="str">
        <f>IF(Out!G95=0,"",Out!G95)</f>
        <v/>
      </c>
      <c r="AD144" s="45" t="str">
        <f>IF(Nov!G95=0,"",Nov!G95)</f>
        <v/>
      </c>
      <c r="AE144" s="45" t="str">
        <f>IF(Dez!G95=0,"",Dez!G95)</f>
        <v/>
      </c>
      <c r="AF144" s="42"/>
      <c r="AG144" s="42"/>
      <c r="AH144" s="42"/>
    </row>
    <row r="145" spans="1:34" ht="16" x14ac:dyDescent="0.2">
      <c r="A145" s="42"/>
      <c r="B145" s="42"/>
      <c r="C145" s="42"/>
      <c r="D145" s="42"/>
      <c r="E145" s="42"/>
      <c r="F145" s="42"/>
      <c r="G145" s="42"/>
      <c r="H145" s="42"/>
      <c r="I145" s="42"/>
      <c r="J145" s="42"/>
      <c r="K145" s="141"/>
      <c r="L145" s="141"/>
      <c r="M145" s="141"/>
      <c r="N145" s="141"/>
      <c r="O145" s="42"/>
      <c r="P145" s="42"/>
      <c r="Q145" s="42"/>
      <c r="R145" s="42"/>
      <c r="S145" s="44" t="str">
        <f>IF(Personalização!B97=0,"",Personalização!B97)</f>
        <v/>
      </c>
      <c r="T145" s="45" t="str">
        <f>IF(Jan!G96=0,"",Jan!G96)</f>
        <v/>
      </c>
      <c r="U145" s="45" t="str">
        <f>IF(Fev!G96=0,"",Fev!G96)</f>
        <v/>
      </c>
      <c r="V145" s="45" t="str">
        <f>IF(Mar!G96=0,"",Mar!G96)</f>
        <v/>
      </c>
      <c r="W145" s="45" t="str">
        <f>IF(Abr!G96=0,"",Abr!G96)</f>
        <v/>
      </c>
      <c r="X145" s="45" t="str">
        <f>IF(Mai!G96=0,"",Mai!G96)</f>
        <v/>
      </c>
      <c r="Y145" s="45" t="str">
        <f>IF(Jun!G96=0,"",Jun!G96)</f>
        <v/>
      </c>
      <c r="Z145" s="45" t="str">
        <f>IF(Jul!G96=0,"",Jul!G96)</f>
        <v/>
      </c>
      <c r="AA145" s="45" t="str">
        <f>IF(Ago!G96=0,"",Ago!G96)</f>
        <v/>
      </c>
      <c r="AB145" s="45" t="str">
        <f>IF(Set!G96=0,"",Set!G96)</f>
        <v/>
      </c>
      <c r="AC145" s="45" t="str">
        <f>IF(Out!G96=0,"",Out!G96)</f>
        <v/>
      </c>
      <c r="AD145" s="45" t="str">
        <f>IF(Nov!G96=0,"",Nov!G96)</f>
        <v/>
      </c>
      <c r="AE145" s="45" t="str">
        <f>IF(Dez!G96=0,"",Dez!G96)</f>
        <v/>
      </c>
      <c r="AF145" s="42"/>
      <c r="AG145" s="42"/>
      <c r="AH145" s="42"/>
    </row>
    <row r="146" spans="1:34" ht="16" x14ac:dyDescent="0.2">
      <c r="A146" s="42"/>
      <c r="B146" s="42"/>
      <c r="C146" s="42"/>
      <c r="D146" s="42"/>
      <c r="E146" s="42"/>
      <c r="F146" s="42"/>
      <c r="G146" s="42"/>
      <c r="H146" s="42"/>
      <c r="I146" s="42"/>
      <c r="J146" s="42"/>
      <c r="K146" s="141"/>
      <c r="L146" s="141"/>
      <c r="M146" s="141"/>
      <c r="N146" s="141"/>
      <c r="O146" s="42"/>
      <c r="P146" s="42"/>
      <c r="Q146" s="42"/>
      <c r="R146" s="42"/>
      <c r="S146" s="44" t="str">
        <f>IF(Personalização!B98=0,"",Personalização!B98)</f>
        <v/>
      </c>
      <c r="T146" s="45" t="str">
        <f>IF(Jan!G97=0,"",Jan!G97)</f>
        <v/>
      </c>
      <c r="U146" s="45" t="str">
        <f>IF(Fev!G97=0,"",Fev!G97)</f>
        <v/>
      </c>
      <c r="V146" s="45" t="str">
        <f>IF(Mar!G97=0,"",Mar!G97)</f>
        <v/>
      </c>
      <c r="W146" s="45" t="str">
        <f>IF(Abr!G97=0,"",Abr!G97)</f>
        <v/>
      </c>
      <c r="X146" s="45" t="str">
        <f>IF(Mai!G97=0,"",Mai!G97)</f>
        <v/>
      </c>
      <c r="Y146" s="45" t="str">
        <f>IF(Jun!G97=0,"",Jun!G97)</f>
        <v/>
      </c>
      <c r="Z146" s="45" t="str">
        <f>IF(Jul!G97=0,"",Jul!G97)</f>
        <v/>
      </c>
      <c r="AA146" s="45" t="str">
        <f>IF(Ago!G97=0,"",Ago!G97)</f>
        <v/>
      </c>
      <c r="AB146" s="45" t="str">
        <f>IF(Set!G97=0,"",Set!G97)</f>
        <v/>
      </c>
      <c r="AC146" s="45" t="str">
        <f>IF(Out!G97=0,"",Out!G97)</f>
        <v/>
      </c>
      <c r="AD146" s="45" t="str">
        <f>IF(Nov!G97=0,"",Nov!G97)</f>
        <v/>
      </c>
      <c r="AE146" s="45" t="str">
        <f>IF(Dez!G97=0,"",Dez!G97)</f>
        <v/>
      </c>
      <c r="AF146" s="42"/>
      <c r="AG146" s="42"/>
      <c r="AH146" s="42"/>
    </row>
    <row r="147" spans="1:34" ht="16" x14ac:dyDescent="0.2">
      <c r="A147" s="42"/>
      <c r="B147" s="42"/>
      <c r="C147" s="42"/>
      <c r="D147" s="42"/>
      <c r="E147" s="42"/>
      <c r="F147" s="42"/>
      <c r="G147" s="42"/>
      <c r="H147" s="42"/>
      <c r="I147" s="42"/>
      <c r="J147" s="42"/>
      <c r="K147" s="141"/>
      <c r="L147" s="141"/>
      <c r="M147" s="141"/>
      <c r="N147" s="141"/>
      <c r="O147" s="42"/>
      <c r="P147" s="42"/>
      <c r="Q147" s="42"/>
      <c r="R147" s="42"/>
      <c r="S147" s="44" t="str">
        <f>IF(Personalização!B99=0,"",Personalização!B99)</f>
        <v/>
      </c>
      <c r="T147" s="45" t="str">
        <f>IF(Jan!G98=0,"",Jan!G98)</f>
        <v/>
      </c>
      <c r="U147" s="45" t="str">
        <f>IF(Fev!G98=0,"",Fev!G98)</f>
        <v/>
      </c>
      <c r="V147" s="45" t="str">
        <f>IF(Mar!G98=0,"",Mar!G98)</f>
        <v/>
      </c>
      <c r="W147" s="45" t="str">
        <f>IF(Abr!G98=0,"",Abr!G98)</f>
        <v/>
      </c>
      <c r="X147" s="45" t="str">
        <f>IF(Mai!G98=0,"",Mai!G98)</f>
        <v/>
      </c>
      <c r="Y147" s="45" t="str">
        <f>IF(Jun!G98=0,"",Jun!G98)</f>
        <v/>
      </c>
      <c r="Z147" s="45" t="str">
        <f>IF(Jul!G98=0,"",Jul!G98)</f>
        <v/>
      </c>
      <c r="AA147" s="45" t="str">
        <f>IF(Ago!G98=0,"",Ago!G98)</f>
        <v/>
      </c>
      <c r="AB147" s="45" t="str">
        <f>IF(Set!G98=0,"",Set!G98)</f>
        <v/>
      </c>
      <c r="AC147" s="45" t="str">
        <f>IF(Out!G98=0,"",Out!G98)</f>
        <v/>
      </c>
      <c r="AD147" s="45" t="str">
        <f>IF(Nov!G98=0,"",Nov!G98)</f>
        <v/>
      </c>
      <c r="AE147" s="45" t="str">
        <f>IF(Dez!G98=0,"",Dez!G98)</f>
        <v/>
      </c>
      <c r="AF147" s="42"/>
      <c r="AG147" s="42"/>
      <c r="AH147" s="42"/>
    </row>
    <row r="148" spans="1:34" ht="16" x14ac:dyDescent="0.2">
      <c r="A148" s="42"/>
      <c r="B148" s="42"/>
      <c r="C148" s="42"/>
      <c r="D148" s="42"/>
      <c r="E148" s="42"/>
      <c r="F148" s="42"/>
      <c r="G148" s="42"/>
      <c r="H148" s="42"/>
      <c r="I148" s="42"/>
      <c r="J148" s="42"/>
      <c r="K148" s="141"/>
      <c r="L148" s="141"/>
      <c r="M148" s="141"/>
      <c r="N148" s="141"/>
      <c r="O148" s="42"/>
      <c r="P148" s="42"/>
      <c r="Q148" s="42"/>
      <c r="R148" s="42"/>
      <c r="S148" s="44" t="str">
        <f>IF(Personalização!B100=0,"",Personalização!B100)</f>
        <v/>
      </c>
      <c r="T148" s="45" t="str">
        <f>IF(Jan!G99=0,"",Jan!G99)</f>
        <v/>
      </c>
      <c r="U148" s="45" t="str">
        <f>IF(Fev!G99=0,"",Fev!G99)</f>
        <v/>
      </c>
      <c r="V148" s="45" t="str">
        <f>IF(Mar!G99=0,"",Mar!G99)</f>
        <v/>
      </c>
      <c r="W148" s="45" t="str">
        <f>IF(Abr!G99=0,"",Abr!G99)</f>
        <v/>
      </c>
      <c r="X148" s="45" t="str">
        <f>IF(Mai!G99=0,"",Mai!G99)</f>
        <v/>
      </c>
      <c r="Y148" s="45" t="str">
        <f>IF(Jun!G99=0,"",Jun!G99)</f>
        <v/>
      </c>
      <c r="Z148" s="45" t="str">
        <f>IF(Jul!G99=0,"",Jul!G99)</f>
        <v/>
      </c>
      <c r="AA148" s="45" t="str">
        <f>IF(Ago!G99=0,"",Ago!G99)</f>
        <v/>
      </c>
      <c r="AB148" s="45" t="str">
        <f>IF(Set!G99=0,"",Set!G99)</f>
        <v/>
      </c>
      <c r="AC148" s="45" t="str">
        <f>IF(Out!G99=0,"",Out!G99)</f>
        <v/>
      </c>
      <c r="AD148" s="45" t="str">
        <f>IF(Nov!G99=0,"",Nov!G99)</f>
        <v/>
      </c>
      <c r="AE148" s="45" t="str">
        <f>IF(Dez!G99=0,"",Dez!G99)</f>
        <v/>
      </c>
      <c r="AF148" s="42"/>
      <c r="AG148" s="42"/>
      <c r="AH148" s="42"/>
    </row>
    <row r="149" spans="1:34" ht="16" x14ac:dyDescent="0.2">
      <c r="A149" s="42"/>
      <c r="B149" s="42"/>
      <c r="C149" s="42"/>
      <c r="D149" s="42"/>
      <c r="E149" s="42"/>
      <c r="F149" s="42"/>
      <c r="G149" s="42"/>
      <c r="H149" s="42"/>
      <c r="I149" s="42"/>
      <c r="J149" s="42"/>
      <c r="K149" s="141"/>
      <c r="L149" s="141"/>
      <c r="M149" s="141"/>
      <c r="N149" s="141"/>
      <c r="O149" s="42"/>
      <c r="P149" s="42"/>
      <c r="Q149" s="42"/>
      <c r="R149" s="42"/>
      <c r="S149" s="44" t="str">
        <f>IF(Personalização!B101=0,"",Personalização!B101)</f>
        <v/>
      </c>
      <c r="T149" s="45" t="str">
        <f>IF(Jan!G100=0,"",Jan!G100)</f>
        <v/>
      </c>
      <c r="U149" s="45" t="str">
        <f>IF(Fev!G100=0,"",Fev!G100)</f>
        <v/>
      </c>
      <c r="V149" s="45" t="str">
        <f>IF(Mar!G100=0,"",Mar!G100)</f>
        <v/>
      </c>
      <c r="W149" s="45" t="str">
        <f>IF(Abr!G100=0,"",Abr!G100)</f>
        <v/>
      </c>
      <c r="X149" s="45" t="str">
        <f>IF(Mai!G100=0,"",Mai!G100)</f>
        <v/>
      </c>
      <c r="Y149" s="45" t="str">
        <f>IF(Jun!G100=0,"",Jun!G100)</f>
        <v/>
      </c>
      <c r="Z149" s="45" t="str">
        <f>IF(Jul!G100=0,"",Jul!G100)</f>
        <v/>
      </c>
      <c r="AA149" s="45" t="str">
        <f>IF(Ago!G100=0,"",Ago!G100)</f>
        <v/>
      </c>
      <c r="AB149" s="45" t="str">
        <f>IF(Set!G100=0,"",Set!G100)</f>
        <v/>
      </c>
      <c r="AC149" s="45" t="str">
        <f>IF(Out!G100=0,"",Out!G100)</f>
        <v/>
      </c>
      <c r="AD149" s="45" t="str">
        <f>IF(Nov!G100=0,"",Nov!G100)</f>
        <v/>
      </c>
      <c r="AE149" s="45" t="str">
        <f>IF(Dez!G100=0,"",Dez!G100)</f>
        <v/>
      </c>
      <c r="AF149" s="42"/>
      <c r="AG149" s="42"/>
      <c r="AH149" s="42"/>
    </row>
    <row r="150" spans="1:34" ht="16" x14ac:dyDescent="0.2">
      <c r="A150" s="42"/>
      <c r="B150" s="42"/>
      <c r="C150" s="42"/>
      <c r="D150" s="42"/>
      <c r="E150" s="42"/>
      <c r="F150" s="42"/>
      <c r="G150" s="42"/>
      <c r="H150" s="42"/>
      <c r="I150" s="42"/>
      <c r="J150" s="42"/>
      <c r="K150" s="141"/>
      <c r="L150" s="141"/>
      <c r="M150" s="141"/>
      <c r="N150" s="141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</row>
    <row r="151" spans="1:34" ht="16" x14ac:dyDescent="0.2">
      <c r="A151" s="42"/>
      <c r="B151" s="42"/>
      <c r="C151" s="42"/>
      <c r="D151" s="42"/>
      <c r="E151" s="42"/>
      <c r="F151" s="42"/>
      <c r="G151" s="42"/>
      <c r="H151" s="42"/>
      <c r="I151" s="42"/>
      <c r="J151" s="42"/>
      <c r="K151" s="141"/>
      <c r="L151" s="141"/>
      <c r="M151" s="141"/>
      <c r="N151" s="141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</row>
    <row r="152" spans="1:34" ht="16" x14ac:dyDescent="0.2">
      <c r="A152" s="42"/>
      <c r="B152" s="42"/>
      <c r="C152" s="42"/>
      <c r="D152" s="42"/>
      <c r="E152" s="42"/>
      <c r="F152" s="42"/>
      <c r="G152" s="42"/>
      <c r="H152" s="42"/>
      <c r="I152" s="42"/>
      <c r="J152" s="42"/>
      <c r="K152" s="141"/>
      <c r="L152" s="141"/>
      <c r="M152" s="141"/>
      <c r="N152" s="141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</row>
    <row r="153" spans="1:34" ht="16" x14ac:dyDescent="0.2">
      <c r="A153" s="42"/>
      <c r="B153" s="42"/>
      <c r="C153" s="42"/>
      <c r="D153" s="42"/>
      <c r="E153" s="42"/>
      <c r="F153" s="42"/>
      <c r="G153" s="42"/>
      <c r="H153" s="42"/>
      <c r="I153" s="42"/>
      <c r="J153" s="42"/>
      <c r="K153" s="141"/>
      <c r="L153" s="141"/>
      <c r="M153" s="141"/>
      <c r="N153" s="141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</row>
    <row r="154" spans="1:34" ht="16" x14ac:dyDescent="0.2">
      <c r="A154" s="42"/>
      <c r="B154" s="42"/>
      <c r="C154" s="42"/>
      <c r="D154" s="42"/>
      <c r="E154" s="42"/>
      <c r="F154" s="42"/>
      <c r="G154" s="42"/>
      <c r="H154" s="42"/>
      <c r="I154" s="42"/>
      <c r="J154" s="42"/>
      <c r="K154" s="141"/>
      <c r="L154" s="141"/>
      <c r="M154" s="141"/>
      <c r="N154" s="141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</row>
    <row r="155" spans="1:34" ht="16" x14ac:dyDescent="0.2">
      <c r="A155" s="42"/>
      <c r="B155" s="42"/>
      <c r="C155" s="42"/>
      <c r="D155" s="42"/>
      <c r="E155" s="42"/>
      <c r="F155" s="42"/>
      <c r="G155" s="42"/>
      <c r="H155" s="42"/>
      <c r="I155" s="42"/>
      <c r="J155" s="42"/>
      <c r="K155" s="141"/>
      <c r="L155" s="141"/>
      <c r="M155" s="141"/>
      <c r="N155" s="141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</row>
    <row r="156" spans="1:34" ht="16" x14ac:dyDescent="0.2">
      <c r="A156" s="42"/>
      <c r="B156" s="42"/>
      <c r="C156" s="42"/>
      <c r="D156" s="42"/>
      <c r="E156" s="42"/>
      <c r="F156" s="42"/>
      <c r="G156" s="42"/>
      <c r="H156" s="42"/>
      <c r="I156" s="42"/>
      <c r="J156" s="42"/>
      <c r="K156" s="141"/>
      <c r="L156" s="141"/>
      <c r="M156" s="141"/>
      <c r="N156" s="141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</row>
    <row r="157" spans="1:34" ht="16" x14ac:dyDescent="0.2">
      <c r="A157" s="42"/>
      <c r="B157" s="42"/>
      <c r="C157" s="42"/>
      <c r="D157" s="42"/>
      <c r="E157" s="42"/>
      <c r="F157" s="42"/>
      <c r="G157" s="42"/>
      <c r="H157" s="42"/>
      <c r="I157" s="42"/>
      <c r="J157" s="42"/>
      <c r="K157" s="141"/>
      <c r="L157" s="141"/>
      <c r="M157" s="141"/>
      <c r="N157" s="141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</row>
    <row r="158" spans="1:34" ht="16" x14ac:dyDescent="0.2">
      <c r="A158" s="42"/>
      <c r="B158" s="42"/>
      <c r="C158" s="42"/>
      <c r="D158" s="42"/>
      <c r="E158" s="42"/>
      <c r="F158" s="42"/>
      <c r="G158" s="42"/>
      <c r="H158" s="42"/>
      <c r="I158" s="42"/>
      <c r="J158" s="42"/>
      <c r="K158" s="141"/>
      <c r="L158" s="141"/>
      <c r="M158" s="141"/>
      <c r="N158" s="141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</row>
    <row r="159" spans="1:34" ht="16" x14ac:dyDescent="0.2">
      <c r="A159" s="42"/>
      <c r="B159" s="42"/>
      <c r="C159" s="42"/>
      <c r="D159" s="42"/>
      <c r="E159" s="42"/>
      <c r="F159" s="42"/>
      <c r="G159" s="42"/>
      <c r="H159" s="42"/>
      <c r="I159" s="42"/>
      <c r="J159" s="42"/>
      <c r="K159" s="141"/>
      <c r="L159" s="141"/>
      <c r="M159" s="141"/>
      <c r="N159" s="141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</row>
    <row r="160" spans="1:34" ht="16" x14ac:dyDescent="0.2">
      <c r="A160" s="42"/>
      <c r="B160" s="42"/>
      <c r="C160" s="42"/>
      <c r="D160" s="42"/>
      <c r="E160" s="42"/>
      <c r="F160" s="42"/>
      <c r="G160" s="42"/>
      <c r="H160" s="42"/>
      <c r="I160" s="42"/>
      <c r="J160" s="42"/>
      <c r="K160" s="141"/>
      <c r="L160" s="141"/>
      <c r="M160" s="141"/>
      <c r="N160" s="141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</row>
    <row r="161" spans="1:34" ht="16" x14ac:dyDescent="0.2">
      <c r="A161" s="42"/>
      <c r="B161" s="42"/>
      <c r="C161" s="42"/>
      <c r="D161" s="42"/>
      <c r="E161" s="42"/>
      <c r="F161" s="42"/>
      <c r="G161" s="42"/>
      <c r="H161" s="42"/>
      <c r="I161" s="42"/>
      <c r="J161" s="42"/>
      <c r="K161" s="141"/>
      <c r="L161" s="141"/>
      <c r="M161" s="141"/>
      <c r="N161" s="141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</row>
    <row r="162" spans="1:34" ht="16" x14ac:dyDescent="0.2">
      <c r="A162" s="42"/>
      <c r="B162" s="42"/>
      <c r="C162" s="42"/>
      <c r="D162" s="42"/>
      <c r="E162" s="42"/>
      <c r="F162" s="42"/>
      <c r="G162" s="42"/>
      <c r="H162" s="42"/>
      <c r="I162" s="42"/>
      <c r="J162" s="42"/>
      <c r="K162" s="141"/>
      <c r="L162" s="141"/>
      <c r="M162" s="141"/>
      <c r="N162" s="141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</row>
    <row r="163" spans="1:34" ht="16" x14ac:dyDescent="0.2">
      <c r="A163" s="42"/>
      <c r="B163" s="42"/>
      <c r="C163" s="42"/>
      <c r="D163" s="42"/>
      <c r="E163" s="42"/>
      <c r="F163" s="42"/>
      <c r="G163" s="42"/>
      <c r="H163" s="42"/>
      <c r="I163" s="42"/>
      <c r="J163" s="42"/>
      <c r="K163" s="141"/>
      <c r="L163" s="141"/>
      <c r="M163" s="141"/>
      <c r="N163" s="141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</row>
    <row r="164" spans="1:34" ht="16" x14ac:dyDescent="0.2">
      <c r="A164" s="42"/>
      <c r="B164" s="42"/>
      <c r="C164" s="42"/>
      <c r="D164" s="42"/>
      <c r="E164" s="42"/>
      <c r="F164" s="42"/>
      <c r="G164" s="42"/>
      <c r="H164" s="42"/>
      <c r="I164" s="42"/>
      <c r="J164" s="42"/>
      <c r="K164" s="141"/>
      <c r="L164" s="141"/>
      <c r="M164" s="141"/>
      <c r="N164" s="141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</row>
    <row r="165" spans="1:34" ht="16" x14ac:dyDescent="0.2">
      <c r="A165" s="42"/>
      <c r="B165" s="42"/>
      <c r="C165" s="42"/>
      <c r="D165" s="42"/>
      <c r="E165" s="42"/>
      <c r="F165" s="42"/>
      <c r="G165" s="42"/>
      <c r="H165" s="42"/>
      <c r="I165" s="42"/>
      <c r="J165" s="42"/>
      <c r="K165" s="141"/>
      <c r="L165" s="141"/>
      <c r="M165" s="141"/>
      <c r="N165" s="141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</row>
    <row r="166" spans="1:34" ht="16" x14ac:dyDescent="0.2">
      <c r="A166" s="42"/>
      <c r="B166" s="42"/>
      <c r="C166" s="42"/>
      <c r="D166" s="42"/>
      <c r="E166" s="42"/>
      <c r="F166" s="42"/>
      <c r="G166" s="42"/>
      <c r="H166" s="42"/>
      <c r="I166" s="42"/>
      <c r="J166" s="42"/>
      <c r="K166" s="141"/>
      <c r="L166" s="141"/>
      <c r="M166" s="141"/>
      <c r="N166" s="141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</row>
    <row r="167" spans="1:34" ht="16" x14ac:dyDescent="0.2">
      <c r="A167" s="42"/>
      <c r="B167" s="42"/>
      <c r="C167" s="42"/>
      <c r="D167" s="42"/>
      <c r="E167" s="42"/>
      <c r="F167" s="42"/>
      <c r="G167" s="42"/>
      <c r="H167" s="42"/>
      <c r="I167" s="42"/>
      <c r="J167" s="42"/>
      <c r="K167" s="141"/>
      <c r="L167" s="141"/>
      <c r="M167" s="141"/>
      <c r="N167" s="141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</row>
    <row r="168" spans="1:34" ht="16" x14ac:dyDescent="0.2">
      <c r="A168" s="42"/>
      <c r="B168" s="42"/>
      <c r="C168" s="42"/>
      <c r="D168" s="42"/>
      <c r="E168" s="42"/>
      <c r="F168" s="42"/>
      <c r="G168" s="42"/>
      <c r="H168" s="42"/>
      <c r="I168" s="42"/>
      <c r="J168" s="42"/>
      <c r="K168" s="141"/>
      <c r="L168" s="141"/>
      <c r="M168" s="141"/>
      <c r="N168" s="141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</row>
    <row r="169" spans="1:34" ht="16" x14ac:dyDescent="0.2">
      <c r="A169" s="42"/>
      <c r="B169" s="42"/>
      <c r="C169" s="42"/>
      <c r="D169" s="42"/>
      <c r="E169" s="42"/>
      <c r="F169" s="42"/>
      <c r="G169" s="42"/>
      <c r="H169" s="42"/>
      <c r="I169" s="42"/>
      <c r="J169" s="42"/>
      <c r="K169" s="141"/>
      <c r="L169" s="141"/>
      <c r="M169" s="141"/>
      <c r="N169" s="141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</row>
    <row r="170" spans="1:34" ht="16" x14ac:dyDescent="0.2">
      <c r="A170" s="42"/>
      <c r="B170" s="42"/>
      <c r="C170" s="42"/>
      <c r="D170" s="42"/>
      <c r="E170" s="42"/>
      <c r="F170" s="42"/>
      <c r="G170" s="42"/>
      <c r="H170" s="42"/>
      <c r="I170" s="42"/>
      <c r="J170" s="42"/>
      <c r="K170" s="141"/>
      <c r="L170" s="141"/>
      <c r="M170" s="141"/>
      <c r="N170" s="141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</row>
    <row r="171" spans="1:34" ht="16" x14ac:dyDescent="0.2">
      <c r="A171" s="42"/>
      <c r="B171" s="42"/>
      <c r="C171" s="42"/>
      <c r="D171" s="42"/>
      <c r="E171" s="42"/>
      <c r="F171" s="42"/>
      <c r="G171" s="42"/>
      <c r="H171" s="42"/>
      <c r="I171" s="42"/>
      <c r="J171" s="42"/>
      <c r="K171" s="141"/>
      <c r="L171" s="141"/>
      <c r="M171" s="141"/>
      <c r="N171" s="141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</row>
    <row r="172" spans="1:34" ht="16" x14ac:dyDescent="0.2">
      <c r="A172" s="42"/>
      <c r="B172" s="42"/>
      <c r="C172" s="42"/>
      <c r="D172" s="42"/>
      <c r="E172" s="42"/>
      <c r="F172" s="42"/>
      <c r="G172" s="42"/>
      <c r="H172" s="42"/>
      <c r="I172" s="42"/>
      <c r="J172" s="42"/>
      <c r="K172" s="141"/>
      <c r="L172" s="141"/>
      <c r="M172" s="141"/>
      <c r="N172" s="141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</row>
    <row r="173" spans="1:34" ht="16" x14ac:dyDescent="0.2">
      <c r="A173" s="42"/>
      <c r="B173" s="42"/>
      <c r="C173" s="42"/>
      <c r="D173" s="42"/>
      <c r="E173" s="42"/>
      <c r="F173" s="42"/>
      <c r="G173" s="42"/>
      <c r="H173" s="42"/>
      <c r="I173" s="42"/>
      <c r="J173" s="42"/>
      <c r="K173" s="141"/>
      <c r="L173" s="141"/>
      <c r="M173" s="141"/>
      <c r="N173" s="141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</row>
    <row r="174" spans="1:34" ht="16" x14ac:dyDescent="0.2">
      <c r="A174" s="42"/>
      <c r="B174" s="42"/>
      <c r="C174" s="42"/>
      <c r="D174" s="42"/>
      <c r="E174" s="42"/>
      <c r="F174" s="42"/>
      <c r="G174" s="42"/>
      <c r="H174" s="42"/>
      <c r="I174" s="42"/>
      <c r="J174" s="42"/>
      <c r="K174" s="141"/>
      <c r="L174" s="141"/>
      <c r="M174" s="141"/>
      <c r="N174" s="141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</row>
    <row r="175" spans="1:34" ht="16" x14ac:dyDescent="0.2">
      <c r="A175" s="42"/>
      <c r="B175" s="42"/>
      <c r="C175" s="42"/>
      <c r="D175" s="42"/>
      <c r="E175" s="42"/>
      <c r="F175" s="42"/>
      <c r="G175" s="42"/>
      <c r="H175" s="42"/>
      <c r="I175" s="42"/>
      <c r="J175" s="42"/>
      <c r="K175" s="141"/>
      <c r="L175" s="141"/>
      <c r="M175" s="141"/>
      <c r="N175" s="141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</row>
    <row r="176" spans="1:34" ht="16" x14ac:dyDescent="0.2">
      <c r="A176" s="42"/>
      <c r="B176" s="42"/>
      <c r="C176" s="42"/>
      <c r="D176" s="42"/>
      <c r="E176" s="42"/>
      <c r="F176" s="42"/>
      <c r="G176" s="42"/>
      <c r="H176" s="42"/>
      <c r="I176" s="42"/>
      <c r="J176" s="42"/>
      <c r="K176" s="141"/>
      <c r="L176" s="141"/>
      <c r="M176" s="141"/>
      <c r="N176" s="141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</row>
    <row r="177" spans="1:34" ht="16" x14ac:dyDescent="0.2">
      <c r="A177" s="42"/>
      <c r="B177" s="42"/>
      <c r="C177" s="42"/>
      <c r="D177" s="42"/>
      <c r="E177" s="42"/>
      <c r="F177" s="42"/>
      <c r="G177" s="42"/>
      <c r="H177" s="42"/>
      <c r="I177" s="42"/>
      <c r="J177" s="42"/>
      <c r="K177" s="141"/>
      <c r="L177" s="141"/>
      <c r="M177" s="141"/>
      <c r="N177" s="141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</row>
    <row r="178" spans="1:34" ht="16" x14ac:dyDescent="0.2">
      <c r="A178" s="42"/>
      <c r="B178" s="42"/>
      <c r="C178" s="42"/>
      <c r="D178" s="42"/>
      <c r="E178" s="42"/>
      <c r="F178" s="42"/>
      <c r="G178" s="42"/>
      <c r="H178" s="42"/>
      <c r="I178" s="42"/>
      <c r="J178" s="42"/>
      <c r="K178" s="141"/>
      <c r="L178" s="141"/>
      <c r="M178" s="141"/>
      <c r="N178" s="141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</row>
    <row r="179" spans="1:34" ht="16" x14ac:dyDescent="0.2">
      <c r="A179" s="42"/>
      <c r="B179" s="42"/>
      <c r="C179" s="42"/>
      <c r="D179" s="42"/>
      <c r="E179" s="42"/>
      <c r="F179" s="42"/>
      <c r="G179" s="42"/>
      <c r="H179" s="42"/>
      <c r="I179" s="42"/>
      <c r="J179" s="42"/>
      <c r="K179" s="141"/>
      <c r="L179" s="141"/>
      <c r="M179" s="141"/>
      <c r="N179" s="141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</row>
    <row r="180" spans="1:34" ht="16" x14ac:dyDescent="0.2">
      <c r="A180" s="42"/>
      <c r="B180" s="42"/>
      <c r="C180" s="42"/>
      <c r="D180" s="42"/>
      <c r="E180" s="42"/>
      <c r="F180" s="42"/>
      <c r="G180" s="42"/>
      <c r="H180" s="42"/>
      <c r="I180" s="42"/>
      <c r="J180" s="42"/>
      <c r="K180" s="141"/>
      <c r="L180" s="141"/>
      <c r="M180" s="141"/>
      <c r="N180" s="141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</row>
    <row r="181" spans="1:34" ht="16" x14ac:dyDescent="0.2">
      <c r="A181" s="42"/>
      <c r="B181" s="42"/>
      <c r="C181" s="42"/>
      <c r="D181" s="42"/>
      <c r="E181" s="42"/>
      <c r="F181" s="42"/>
      <c r="G181" s="42"/>
      <c r="H181" s="42"/>
      <c r="I181" s="42"/>
      <c r="J181" s="42"/>
      <c r="K181" s="141"/>
      <c r="L181" s="141"/>
      <c r="M181" s="141"/>
      <c r="N181" s="141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</row>
    <row r="182" spans="1:34" ht="16" x14ac:dyDescent="0.2">
      <c r="A182" s="42"/>
      <c r="B182" s="42"/>
      <c r="C182" s="42"/>
      <c r="D182" s="42"/>
      <c r="E182" s="42"/>
      <c r="F182" s="42"/>
      <c r="G182" s="42"/>
      <c r="H182" s="42"/>
      <c r="I182" s="42"/>
      <c r="J182" s="42"/>
      <c r="K182" s="141"/>
      <c r="L182" s="141"/>
      <c r="M182" s="141"/>
      <c r="N182" s="141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</row>
    <row r="183" spans="1:34" ht="16" x14ac:dyDescent="0.2">
      <c r="A183" s="42"/>
      <c r="B183" s="42"/>
      <c r="C183" s="42"/>
      <c r="D183" s="42"/>
      <c r="E183" s="42"/>
      <c r="F183" s="42"/>
      <c r="G183" s="42"/>
      <c r="H183" s="42"/>
      <c r="I183" s="42"/>
      <c r="J183" s="42"/>
      <c r="K183" s="141"/>
      <c r="L183" s="141"/>
      <c r="M183" s="141"/>
      <c r="N183" s="141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</row>
    <row r="184" spans="1:34" ht="16" x14ac:dyDescent="0.2">
      <c r="A184" s="42"/>
      <c r="B184" s="42"/>
      <c r="C184" s="42"/>
      <c r="D184" s="42"/>
      <c r="E184" s="42"/>
      <c r="F184" s="42"/>
      <c r="G184" s="42"/>
      <c r="H184" s="42"/>
      <c r="I184" s="42"/>
      <c r="J184" s="42"/>
      <c r="K184" s="141"/>
      <c r="L184" s="141"/>
      <c r="M184" s="141"/>
      <c r="N184" s="141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</row>
    <row r="185" spans="1:34" ht="16" x14ac:dyDescent="0.2">
      <c r="A185" s="42"/>
      <c r="B185" s="42"/>
      <c r="C185" s="42"/>
      <c r="D185" s="42"/>
      <c r="E185" s="42"/>
      <c r="F185" s="42"/>
      <c r="G185" s="42"/>
      <c r="H185" s="42"/>
      <c r="I185" s="42"/>
      <c r="J185" s="42"/>
      <c r="K185" s="141"/>
      <c r="L185" s="141"/>
      <c r="M185" s="141"/>
      <c r="N185" s="141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</row>
    <row r="186" spans="1:34" ht="16" x14ac:dyDescent="0.2">
      <c r="A186" s="42"/>
      <c r="B186" s="42"/>
      <c r="C186" s="42"/>
      <c r="D186" s="42"/>
      <c r="E186" s="42"/>
      <c r="F186" s="42"/>
      <c r="G186" s="42"/>
      <c r="H186" s="42"/>
      <c r="I186" s="42"/>
      <c r="J186" s="42"/>
      <c r="K186" s="141"/>
      <c r="L186" s="141"/>
      <c r="M186" s="141"/>
      <c r="N186" s="141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</row>
    <row r="187" spans="1:34" ht="16" x14ac:dyDescent="0.2">
      <c r="A187" s="42"/>
      <c r="B187" s="42"/>
      <c r="C187" s="42"/>
      <c r="D187" s="42"/>
      <c r="E187" s="42"/>
      <c r="F187" s="42"/>
      <c r="G187" s="42"/>
      <c r="H187" s="42"/>
      <c r="I187" s="42"/>
      <c r="J187" s="42"/>
      <c r="K187" s="141"/>
      <c r="L187" s="141"/>
      <c r="M187" s="141"/>
      <c r="N187" s="141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</row>
    <row r="188" spans="1:34" ht="16" x14ac:dyDescent="0.2">
      <c r="A188" s="42"/>
      <c r="B188" s="42"/>
      <c r="C188" s="42"/>
      <c r="D188" s="42"/>
      <c r="E188" s="42"/>
      <c r="F188" s="42"/>
      <c r="G188" s="42"/>
      <c r="H188" s="42"/>
      <c r="I188" s="42"/>
      <c r="J188" s="42"/>
      <c r="K188" s="141"/>
      <c r="L188" s="141"/>
      <c r="M188" s="141"/>
      <c r="N188" s="141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</row>
    <row r="189" spans="1:34" ht="16" x14ac:dyDescent="0.2">
      <c r="A189" s="42"/>
      <c r="B189" s="42"/>
      <c r="C189" s="42"/>
      <c r="D189" s="42"/>
      <c r="E189" s="42"/>
      <c r="F189" s="42"/>
      <c r="G189" s="42"/>
      <c r="H189" s="42"/>
      <c r="I189" s="42"/>
      <c r="J189" s="42"/>
      <c r="K189" s="141"/>
      <c r="L189" s="141"/>
      <c r="M189" s="141"/>
      <c r="N189" s="141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</row>
    <row r="190" spans="1:34" ht="16" x14ac:dyDescent="0.2">
      <c r="A190" s="42"/>
      <c r="B190" s="42"/>
      <c r="C190" s="42"/>
      <c r="D190" s="42"/>
      <c r="E190" s="42"/>
      <c r="F190" s="42"/>
      <c r="G190" s="42"/>
      <c r="H190" s="42"/>
      <c r="I190" s="42"/>
      <c r="J190" s="42"/>
      <c r="K190" s="141"/>
      <c r="L190" s="141"/>
      <c r="M190" s="141"/>
      <c r="N190" s="141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</row>
    <row r="191" spans="1:34" ht="16" x14ac:dyDescent="0.2">
      <c r="A191" s="42"/>
      <c r="B191" s="42"/>
      <c r="C191" s="42"/>
      <c r="D191" s="42"/>
      <c r="E191" s="42"/>
      <c r="F191" s="42"/>
      <c r="G191" s="42"/>
      <c r="H191" s="42"/>
      <c r="I191" s="42"/>
      <c r="J191" s="42"/>
      <c r="K191" s="141"/>
      <c r="L191" s="141"/>
      <c r="M191" s="141"/>
      <c r="N191" s="141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</row>
    <row r="192" spans="1:34" ht="16" x14ac:dyDescent="0.2">
      <c r="A192" s="42"/>
      <c r="B192" s="42"/>
      <c r="C192" s="42"/>
      <c r="D192" s="42"/>
      <c r="E192" s="42"/>
      <c r="F192" s="42"/>
      <c r="G192" s="42"/>
      <c r="H192" s="42"/>
      <c r="I192" s="42"/>
      <c r="J192" s="42"/>
      <c r="K192" s="141"/>
      <c r="L192" s="141"/>
      <c r="M192" s="141"/>
      <c r="N192" s="141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</row>
    <row r="193" spans="1:34" ht="16" x14ac:dyDescent="0.2">
      <c r="A193" s="42"/>
      <c r="B193" s="42"/>
      <c r="C193" s="42"/>
      <c r="D193" s="42"/>
      <c r="E193" s="42"/>
      <c r="F193" s="42"/>
      <c r="G193" s="42"/>
      <c r="H193" s="42"/>
      <c r="I193" s="42"/>
      <c r="J193" s="42"/>
      <c r="K193" s="141"/>
      <c r="L193" s="141"/>
      <c r="M193" s="141"/>
      <c r="N193" s="141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</row>
    <row r="194" spans="1:34" ht="16" x14ac:dyDescent="0.2">
      <c r="A194" s="42"/>
      <c r="B194" s="42"/>
      <c r="C194" s="42"/>
      <c r="D194" s="42"/>
      <c r="E194" s="42"/>
      <c r="F194" s="42"/>
      <c r="G194" s="42"/>
      <c r="H194" s="42"/>
      <c r="I194" s="42"/>
      <c r="J194" s="42"/>
      <c r="K194" s="141"/>
      <c r="L194" s="141"/>
      <c r="M194" s="141"/>
      <c r="N194" s="141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</row>
    <row r="195" spans="1:34" ht="16" x14ac:dyDescent="0.2">
      <c r="A195" s="42"/>
      <c r="B195" s="42"/>
      <c r="C195" s="42"/>
      <c r="D195" s="42"/>
      <c r="E195" s="42"/>
      <c r="F195" s="42"/>
      <c r="G195" s="42"/>
      <c r="H195" s="42"/>
      <c r="I195" s="42"/>
      <c r="J195" s="42"/>
      <c r="K195" s="141"/>
      <c r="L195" s="141"/>
      <c r="M195" s="141"/>
      <c r="N195" s="141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</row>
    <row r="196" spans="1:34" x14ac:dyDescent="0.2">
      <c r="K196" s="34"/>
      <c r="L196" s="34"/>
      <c r="M196" s="34"/>
      <c r="N196" s="34"/>
    </row>
    <row r="197" spans="1:34" x14ac:dyDescent="0.2">
      <c r="K197" s="34"/>
      <c r="L197" s="34"/>
      <c r="M197" s="34"/>
      <c r="N197" s="34"/>
    </row>
    <row r="198" spans="1:34" x14ac:dyDescent="0.2">
      <c r="K198" s="34"/>
      <c r="L198" s="34"/>
      <c r="M198" s="34"/>
      <c r="N198" s="34"/>
    </row>
    <row r="199" spans="1:34" x14ac:dyDescent="0.2">
      <c r="K199" s="34"/>
      <c r="L199" s="34"/>
      <c r="M199" s="34"/>
      <c r="N199" s="34"/>
    </row>
    <row r="200" spans="1:34" x14ac:dyDescent="0.2">
      <c r="K200" s="34"/>
      <c r="L200" s="34"/>
      <c r="M200" s="34"/>
      <c r="N200" s="34"/>
    </row>
    <row r="201" spans="1:34" x14ac:dyDescent="0.2">
      <c r="K201" s="34"/>
      <c r="L201" s="34"/>
      <c r="M201" s="34"/>
      <c r="N201" s="34"/>
    </row>
    <row r="202" spans="1:34" x14ac:dyDescent="0.2">
      <c r="K202" s="34"/>
      <c r="L202" s="34"/>
      <c r="M202" s="34"/>
      <c r="N202" s="34"/>
    </row>
    <row r="203" spans="1:34" x14ac:dyDescent="0.2">
      <c r="K203" s="34"/>
      <c r="L203" s="34"/>
      <c r="M203" s="34"/>
      <c r="N203" s="34"/>
    </row>
    <row r="204" spans="1:34" x14ac:dyDescent="0.2">
      <c r="K204" s="34"/>
      <c r="L204" s="34"/>
      <c r="M204" s="34"/>
      <c r="N204" s="34"/>
    </row>
    <row r="205" spans="1:34" x14ac:dyDescent="0.2">
      <c r="K205" s="34"/>
      <c r="L205" s="34"/>
      <c r="M205" s="34"/>
      <c r="N205" s="34"/>
    </row>
    <row r="206" spans="1:34" x14ac:dyDescent="0.2">
      <c r="K206" s="34"/>
      <c r="L206" s="34"/>
      <c r="M206" s="34"/>
      <c r="N206" s="34"/>
    </row>
    <row r="207" spans="1:34" x14ac:dyDescent="0.2">
      <c r="K207" s="34"/>
      <c r="L207" s="34"/>
      <c r="M207" s="34"/>
      <c r="N207" s="34"/>
    </row>
    <row r="208" spans="1:34" x14ac:dyDescent="0.2">
      <c r="K208" s="34"/>
      <c r="L208" s="34"/>
      <c r="M208" s="34"/>
      <c r="N208" s="34"/>
    </row>
    <row r="209" spans="11:14" x14ac:dyDescent="0.2">
      <c r="K209" s="34"/>
      <c r="L209" s="34"/>
      <c r="M209" s="34"/>
      <c r="N209" s="34"/>
    </row>
    <row r="210" spans="11:14" x14ac:dyDescent="0.2">
      <c r="K210" s="34"/>
      <c r="L210" s="34"/>
      <c r="M210" s="34"/>
      <c r="N210" s="34"/>
    </row>
    <row r="211" spans="11:14" x14ac:dyDescent="0.2">
      <c r="K211" s="34"/>
      <c r="L211" s="34"/>
      <c r="M211" s="34"/>
      <c r="N211" s="34"/>
    </row>
    <row r="212" spans="11:14" x14ac:dyDescent="0.2">
      <c r="K212" s="34"/>
      <c r="L212" s="34"/>
      <c r="M212" s="34"/>
      <c r="N212" s="34"/>
    </row>
    <row r="213" spans="11:14" x14ac:dyDescent="0.2">
      <c r="K213" s="34"/>
      <c r="L213" s="34"/>
      <c r="M213" s="34"/>
      <c r="N213" s="34"/>
    </row>
    <row r="214" spans="11:14" x14ac:dyDescent="0.2">
      <c r="K214" s="34"/>
      <c r="L214" s="34"/>
      <c r="M214" s="34"/>
      <c r="N214" s="34"/>
    </row>
    <row r="215" spans="11:14" x14ac:dyDescent="0.2">
      <c r="K215" s="34"/>
      <c r="L215" s="34"/>
      <c r="M215" s="34"/>
      <c r="N215" s="34"/>
    </row>
    <row r="216" spans="11:14" x14ac:dyDescent="0.2">
      <c r="K216" s="34"/>
      <c r="L216" s="34"/>
      <c r="M216" s="34"/>
      <c r="N216" s="34"/>
    </row>
    <row r="217" spans="11:14" x14ac:dyDescent="0.2">
      <c r="K217" s="34"/>
      <c r="L217" s="34"/>
      <c r="M217" s="34"/>
      <c r="N217" s="34"/>
    </row>
    <row r="218" spans="11:14" x14ac:dyDescent="0.2">
      <c r="K218" s="34"/>
      <c r="L218" s="34"/>
      <c r="M218" s="34"/>
      <c r="N218" s="34"/>
    </row>
    <row r="219" spans="11:14" x14ac:dyDescent="0.2">
      <c r="K219" s="34"/>
      <c r="L219" s="34"/>
      <c r="M219" s="34"/>
      <c r="N219" s="34"/>
    </row>
    <row r="220" spans="11:14" x14ac:dyDescent="0.2">
      <c r="K220" s="34"/>
      <c r="L220" s="34"/>
      <c r="M220" s="34"/>
      <c r="N220" s="34"/>
    </row>
    <row r="221" spans="11:14" x14ac:dyDescent="0.2">
      <c r="K221" s="34"/>
      <c r="L221" s="34"/>
      <c r="M221" s="34"/>
      <c r="N221" s="34"/>
    </row>
    <row r="222" spans="11:14" x14ac:dyDescent="0.2">
      <c r="K222" s="34"/>
      <c r="L222" s="34"/>
      <c r="M222" s="34"/>
      <c r="N222" s="34"/>
    </row>
    <row r="223" spans="11:14" x14ac:dyDescent="0.2">
      <c r="K223" s="34"/>
      <c r="L223" s="34"/>
      <c r="M223" s="34"/>
      <c r="N223" s="34"/>
    </row>
    <row r="224" spans="11:14" x14ac:dyDescent="0.2">
      <c r="K224" s="34"/>
      <c r="L224" s="34"/>
      <c r="M224" s="34"/>
      <c r="N224" s="34"/>
    </row>
    <row r="225" spans="11:14" x14ac:dyDescent="0.2">
      <c r="K225" s="34"/>
      <c r="L225" s="34"/>
      <c r="M225" s="34"/>
      <c r="N225" s="34"/>
    </row>
    <row r="226" spans="11:14" x14ac:dyDescent="0.2">
      <c r="K226" s="34"/>
      <c r="L226" s="34"/>
      <c r="M226" s="34"/>
      <c r="N226" s="34"/>
    </row>
    <row r="227" spans="11:14" x14ac:dyDescent="0.2">
      <c r="K227" s="34"/>
      <c r="L227" s="34"/>
      <c r="M227" s="34"/>
      <c r="N227" s="34"/>
    </row>
    <row r="228" spans="11:14" x14ac:dyDescent="0.2">
      <c r="K228" s="34"/>
      <c r="L228" s="34"/>
      <c r="M228" s="34"/>
      <c r="N228" s="34"/>
    </row>
    <row r="229" spans="11:14" x14ac:dyDescent="0.2">
      <c r="K229" s="34"/>
      <c r="L229" s="34"/>
      <c r="M229" s="34"/>
      <c r="N229" s="34"/>
    </row>
    <row r="230" spans="11:14" x14ac:dyDescent="0.2">
      <c r="K230" s="34"/>
      <c r="L230" s="34"/>
      <c r="M230" s="34"/>
      <c r="N230" s="34"/>
    </row>
    <row r="231" spans="11:14" x14ac:dyDescent="0.2">
      <c r="K231" s="34"/>
      <c r="L231" s="34"/>
      <c r="M231" s="34"/>
      <c r="N231" s="34"/>
    </row>
    <row r="232" spans="11:14" x14ac:dyDescent="0.2">
      <c r="K232" s="34"/>
      <c r="L232" s="34"/>
      <c r="M232" s="34"/>
      <c r="N232" s="34"/>
    </row>
    <row r="233" spans="11:14" x14ac:dyDescent="0.2">
      <c r="K233" s="34"/>
      <c r="L233" s="34"/>
      <c r="M233" s="34"/>
      <c r="N233" s="34"/>
    </row>
    <row r="234" spans="11:14" x14ac:dyDescent="0.2">
      <c r="K234" s="34"/>
      <c r="L234" s="34"/>
      <c r="M234" s="34"/>
      <c r="N234" s="34"/>
    </row>
    <row r="235" spans="11:14" x14ac:dyDescent="0.2">
      <c r="K235" s="34"/>
      <c r="L235" s="34"/>
      <c r="M235" s="34"/>
      <c r="N235" s="34"/>
    </row>
    <row r="236" spans="11:14" x14ac:dyDescent="0.2">
      <c r="K236" s="34"/>
      <c r="L236" s="34"/>
      <c r="M236" s="34"/>
      <c r="N236" s="34"/>
    </row>
    <row r="237" spans="11:14" x14ac:dyDescent="0.2">
      <c r="K237" s="34"/>
      <c r="L237" s="34"/>
      <c r="M237" s="34"/>
      <c r="N237" s="34"/>
    </row>
    <row r="238" spans="11:14" x14ac:dyDescent="0.2">
      <c r="K238" s="34"/>
      <c r="L238" s="34"/>
      <c r="M238" s="34"/>
      <c r="N238" s="34"/>
    </row>
    <row r="239" spans="11:14" x14ac:dyDescent="0.2">
      <c r="K239" s="34"/>
      <c r="L239" s="34"/>
      <c r="M239" s="34"/>
      <c r="N239" s="34"/>
    </row>
    <row r="240" spans="11:14" x14ac:dyDescent="0.2">
      <c r="K240" s="34"/>
      <c r="L240" s="34"/>
      <c r="M240" s="34"/>
      <c r="N240" s="34"/>
    </row>
    <row r="241" spans="11:14" x14ac:dyDescent="0.2">
      <c r="K241" s="34"/>
      <c r="L241" s="34"/>
      <c r="M241" s="34"/>
      <c r="N241" s="34"/>
    </row>
    <row r="242" spans="11:14" x14ac:dyDescent="0.2">
      <c r="K242" s="34"/>
      <c r="L242" s="34"/>
      <c r="M242" s="34"/>
      <c r="N242" s="34"/>
    </row>
    <row r="243" spans="11:14" x14ac:dyDescent="0.2">
      <c r="K243" s="34"/>
      <c r="L243" s="34"/>
      <c r="M243" s="34"/>
      <c r="N243" s="34"/>
    </row>
    <row r="244" spans="11:14" x14ac:dyDescent="0.2">
      <c r="K244" s="34"/>
      <c r="L244" s="34"/>
      <c r="M244" s="34"/>
      <c r="N244" s="34"/>
    </row>
    <row r="245" spans="11:14" x14ac:dyDescent="0.2">
      <c r="K245" s="34"/>
      <c r="L245" s="34"/>
      <c r="M245" s="34"/>
      <c r="N245" s="34"/>
    </row>
    <row r="246" spans="11:14" x14ac:dyDescent="0.2">
      <c r="K246" s="34"/>
      <c r="L246" s="34"/>
      <c r="M246" s="34"/>
      <c r="N246" s="34"/>
    </row>
    <row r="247" spans="11:14" x14ac:dyDescent="0.2">
      <c r="K247" s="34"/>
      <c r="L247" s="34"/>
      <c r="M247" s="34"/>
      <c r="N247" s="34"/>
    </row>
    <row r="248" spans="11:14" x14ac:dyDescent="0.2">
      <c r="K248" s="34"/>
      <c r="L248" s="34"/>
      <c r="M248" s="34"/>
      <c r="N248" s="34"/>
    </row>
    <row r="249" spans="11:14" x14ac:dyDescent="0.2">
      <c r="K249" s="34"/>
      <c r="L249" s="34"/>
      <c r="M249" s="34"/>
      <c r="N249" s="34"/>
    </row>
    <row r="250" spans="11:14" x14ac:dyDescent="0.2">
      <c r="K250" s="34"/>
      <c r="L250" s="34"/>
      <c r="M250" s="34"/>
      <c r="N250" s="34"/>
    </row>
    <row r="251" spans="11:14" x14ac:dyDescent="0.2">
      <c r="K251" s="34"/>
      <c r="L251" s="34"/>
      <c r="M251" s="34"/>
      <c r="N251" s="34"/>
    </row>
    <row r="252" spans="11:14" x14ac:dyDescent="0.2">
      <c r="K252" s="34"/>
      <c r="L252" s="34"/>
      <c r="M252" s="34"/>
      <c r="N252" s="34"/>
    </row>
    <row r="253" spans="11:14" x14ac:dyDescent="0.2">
      <c r="K253" s="34"/>
      <c r="L253" s="34"/>
      <c r="M253" s="34"/>
      <c r="N253" s="34"/>
    </row>
    <row r="254" spans="11:14" x14ac:dyDescent="0.2">
      <c r="K254" s="34"/>
      <c r="L254" s="34"/>
      <c r="M254" s="34"/>
      <c r="N254" s="34"/>
    </row>
    <row r="255" spans="11:14" x14ac:dyDescent="0.2">
      <c r="K255" s="34"/>
      <c r="L255" s="34"/>
      <c r="M255" s="34"/>
      <c r="N255" s="34"/>
    </row>
    <row r="256" spans="11:14" x14ac:dyDescent="0.2">
      <c r="K256" s="34"/>
      <c r="L256" s="34"/>
      <c r="M256" s="34"/>
      <c r="N256" s="34"/>
    </row>
    <row r="257" spans="11:14" x14ac:dyDescent="0.2">
      <c r="K257" s="34"/>
      <c r="L257" s="34"/>
      <c r="M257" s="34"/>
      <c r="N257" s="34"/>
    </row>
    <row r="258" spans="11:14" x14ac:dyDescent="0.2">
      <c r="K258" s="34"/>
      <c r="L258" s="34"/>
      <c r="M258" s="34"/>
      <c r="N258" s="34"/>
    </row>
    <row r="259" spans="11:14" x14ac:dyDescent="0.2">
      <c r="K259" s="34"/>
      <c r="L259" s="34"/>
      <c r="M259" s="34"/>
      <c r="N259" s="34"/>
    </row>
    <row r="260" spans="11:14" x14ac:dyDescent="0.2">
      <c r="K260" s="34"/>
      <c r="L260" s="34"/>
      <c r="M260" s="34"/>
      <c r="N260" s="34"/>
    </row>
    <row r="261" spans="11:14" x14ac:dyDescent="0.2">
      <c r="K261" s="34"/>
      <c r="L261" s="34"/>
      <c r="M261" s="34"/>
      <c r="N261" s="34"/>
    </row>
    <row r="262" spans="11:14" x14ac:dyDescent="0.2">
      <c r="K262" s="34"/>
      <c r="L262" s="34"/>
      <c r="M262" s="34"/>
      <c r="N262" s="34"/>
    </row>
    <row r="263" spans="11:14" x14ac:dyDescent="0.2">
      <c r="K263" s="34"/>
      <c r="L263" s="34"/>
      <c r="M263" s="34"/>
      <c r="N263" s="34"/>
    </row>
    <row r="264" spans="11:14" x14ac:dyDescent="0.2">
      <c r="K264" s="34"/>
      <c r="L264" s="34"/>
      <c r="M264" s="34"/>
      <c r="N264" s="34"/>
    </row>
    <row r="265" spans="11:14" x14ac:dyDescent="0.2">
      <c r="K265" s="34"/>
      <c r="L265" s="34"/>
      <c r="M265" s="34"/>
      <c r="N265" s="34"/>
    </row>
    <row r="266" spans="11:14" x14ac:dyDescent="0.2">
      <c r="K266" s="34"/>
      <c r="L266" s="34"/>
      <c r="M266" s="34"/>
      <c r="N266" s="34"/>
    </row>
    <row r="267" spans="11:14" x14ac:dyDescent="0.2">
      <c r="K267" s="34"/>
      <c r="L267" s="34"/>
      <c r="M267" s="34"/>
      <c r="N267" s="34"/>
    </row>
    <row r="268" spans="11:14" x14ac:dyDescent="0.2">
      <c r="K268" s="34"/>
      <c r="L268" s="34"/>
      <c r="M268" s="34"/>
      <c r="N268" s="34"/>
    </row>
    <row r="269" spans="11:14" x14ac:dyDescent="0.2">
      <c r="K269" s="34"/>
      <c r="L269" s="34"/>
      <c r="M269" s="34"/>
      <c r="N269" s="34"/>
    </row>
    <row r="270" spans="11:14" x14ac:dyDescent="0.2">
      <c r="K270" s="34"/>
      <c r="L270" s="34"/>
      <c r="M270" s="34"/>
      <c r="N270" s="34"/>
    </row>
    <row r="271" spans="11:14" x14ac:dyDescent="0.2">
      <c r="K271" s="34"/>
      <c r="L271" s="34"/>
      <c r="M271" s="34"/>
      <c r="N271" s="34"/>
    </row>
    <row r="272" spans="11:14" x14ac:dyDescent="0.2">
      <c r="K272" s="34"/>
      <c r="L272" s="34"/>
      <c r="M272" s="34"/>
      <c r="N272" s="34"/>
    </row>
    <row r="273" spans="11:14" x14ac:dyDescent="0.2">
      <c r="K273" s="34"/>
      <c r="L273" s="34"/>
      <c r="M273" s="34"/>
      <c r="N273" s="34"/>
    </row>
    <row r="274" spans="11:14" x14ac:dyDescent="0.2">
      <c r="K274" s="34"/>
      <c r="L274" s="34"/>
      <c r="M274" s="34"/>
      <c r="N274" s="34"/>
    </row>
    <row r="275" spans="11:14" x14ac:dyDescent="0.2">
      <c r="K275" s="34"/>
      <c r="L275" s="34"/>
      <c r="M275" s="34"/>
      <c r="N275" s="34"/>
    </row>
    <row r="276" spans="11:14" x14ac:dyDescent="0.2">
      <c r="K276" s="34"/>
      <c r="L276" s="34"/>
      <c r="M276" s="34"/>
      <c r="N276" s="34"/>
    </row>
    <row r="277" spans="11:14" x14ac:dyDescent="0.2">
      <c r="K277" s="34"/>
      <c r="L277" s="34"/>
      <c r="M277" s="34"/>
      <c r="N277" s="34"/>
    </row>
    <row r="278" spans="11:14" x14ac:dyDescent="0.2">
      <c r="K278" s="34"/>
      <c r="L278" s="34"/>
      <c r="M278" s="34"/>
      <c r="N278" s="34"/>
    </row>
    <row r="279" spans="11:14" x14ac:dyDescent="0.2">
      <c r="K279" s="34"/>
      <c r="L279" s="34"/>
      <c r="M279" s="34"/>
      <c r="N279" s="34"/>
    </row>
    <row r="280" spans="11:14" x14ac:dyDescent="0.2">
      <c r="K280" s="34"/>
      <c r="L280" s="34"/>
      <c r="M280" s="34"/>
      <c r="N280" s="34"/>
    </row>
    <row r="281" spans="11:14" x14ac:dyDescent="0.2">
      <c r="K281" s="34"/>
      <c r="L281" s="34"/>
      <c r="M281" s="34"/>
      <c r="N281" s="34"/>
    </row>
    <row r="282" spans="11:14" x14ac:dyDescent="0.2">
      <c r="K282" s="34"/>
      <c r="L282" s="34"/>
      <c r="M282" s="34"/>
      <c r="N282" s="34"/>
    </row>
    <row r="283" spans="11:14" x14ac:dyDescent="0.2">
      <c r="K283" s="34"/>
      <c r="L283" s="34"/>
      <c r="M283" s="34"/>
      <c r="N283" s="34"/>
    </row>
    <row r="284" spans="11:14" x14ac:dyDescent="0.2">
      <c r="K284" s="34"/>
      <c r="L284" s="34"/>
      <c r="M284" s="34"/>
      <c r="N284" s="34"/>
    </row>
    <row r="285" spans="11:14" x14ac:dyDescent="0.2">
      <c r="K285" s="34"/>
      <c r="L285" s="34"/>
      <c r="M285" s="34"/>
      <c r="N285" s="34"/>
    </row>
    <row r="286" spans="11:14" x14ac:dyDescent="0.2">
      <c r="K286" s="34"/>
      <c r="L286" s="34"/>
      <c r="M286" s="34"/>
      <c r="N286" s="34"/>
    </row>
    <row r="287" spans="11:14" x14ac:dyDescent="0.2">
      <c r="K287" s="34"/>
      <c r="L287" s="34"/>
      <c r="M287" s="34"/>
      <c r="N287" s="34"/>
    </row>
    <row r="288" spans="11:14" x14ac:dyDescent="0.2">
      <c r="K288" s="34"/>
      <c r="L288" s="34"/>
      <c r="M288" s="34"/>
      <c r="N288" s="34"/>
    </row>
    <row r="289" spans="11:14" x14ac:dyDescent="0.2">
      <c r="K289" s="34"/>
      <c r="L289" s="34"/>
      <c r="M289" s="34"/>
      <c r="N289" s="34"/>
    </row>
    <row r="290" spans="11:14" x14ac:dyDescent="0.2">
      <c r="K290" s="34"/>
      <c r="L290" s="34"/>
      <c r="M290" s="34"/>
      <c r="N290" s="34"/>
    </row>
    <row r="291" spans="11:14" x14ac:dyDescent="0.2">
      <c r="K291" s="34"/>
      <c r="L291" s="34"/>
      <c r="M291" s="34"/>
      <c r="N291" s="34"/>
    </row>
    <row r="292" spans="11:14" x14ac:dyDescent="0.2">
      <c r="K292" s="34"/>
      <c r="L292" s="34"/>
      <c r="M292" s="34"/>
      <c r="N292" s="34"/>
    </row>
    <row r="293" spans="11:14" x14ac:dyDescent="0.2">
      <c r="K293" s="34"/>
      <c r="L293" s="34"/>
      <c r="M293" s="34"/>
      <c r="N293" s="34"/>
    </row>
    <row r="294" spans="11:14" x14ac:dyDescent="0.2">
      <c r="K294" s="34"/>
      <c r="L294" s="34"/>
      <c r="M294" s="34"/>
      <c r="N294" s="34"/>
    </row>
    <row r="295" spans="11:14" x14ac:dyDescent="0.2">
      <c r="K295" s="34"/>
      <c r="L295" s="34"/>
      <c r="M295" s="34"/>
      <c r="N295" s="34"/>
    </row>
    <row r="296" spans="11:14" x14ac:dyDescent="0.2">
      <c r="K296" s="34"/>
      <c r="L296" s="34"/>
      <c r="M296" s="34"/>
      <c r="N296" s="34"/>
    </row>
    <row r="297" spans="11:14" x14ac:dyDescent="0.2">
      <c r="K297" s="34"/>
      <c r="L297" s="34"/>
      <c r="M297" s="34"/>
      <c r="N297" s="34"/>
    </row>
    <row r="298" spans="11:14" x14ac:dyDescent="0.2">
      <c r="K298" s="34"/>
      <c r="L298" s="34"/>
      <c r="M298" s="34"/>
      <c r="N298" s="34"/>
    </row>
    <row r="299" spans="11:14" x14ac:dyDescent="0.2">
      <c r="K299" s="34"/>
      <c r="L299" s="34"/>
      <c r="M299" s="34"/>
      <c r="N299" s="34"/>
    </row>
    <row r="300" spans="11:14" x14ac:dyDescent="0.2">
      <c r="K300" s="34"/>
      <c r="L300" s="34"/>
      <c r="M300" s="34"/>
      <c r="N300" s="34"/>
    </row>
    <row r="301" spans="11:14" x14ac:dyDescent="0.2">
      <c r="K301" s="34"/>
      <c r="L301" s="34"/>
      <c r="M301" s="34"/>
      <c r="N301" s="34"/>
    </row>
    <row r="302" spans="11:14" x14ac:dyDescent="0.2">
      <c r="K302" s="34"/>
      <c r="L302" s="34"/>
      <c r="M302" s="34"/>
      <c r="N302" s="34"/>
    </row>
    <row r="303" spans="11:14" x14ac:dyDescent="0.2">
      <c r="K303" s="34"/>
      <c r="L303" s="34"/>
      <c r="M303" s="34"/>
      <c r="N303" s="34"/>
    </row>
    <row r="304" spans="11:14" x14ac:dyDescent="0.2">
      <c r="K304" s="34"/>
      <c r="L304" s="34"/>
      <c r="M304" s="34"/>
      <c r="N304" s="34"/>
    </row>
    <row r="305" spans="11:14" x14ac:dyDescent="0.2">
      <c r="K305" s="34"/>
      <c r="L305" s="34"/>
      <c r="M305" s="34"/>
      <c r="N305" s="34"/>
    </row>
    <row r="306" spans="11:14" x14ac:dyDescent="0.2">
      <c r="K306" s="34"/>
      <c r="L306" s="34"/>
      <c r="M306" s="34"/>
      <c r="N306" s="34"/>
    </row>
    <row r="307" spans="11:14" x14ac:dyDescent="0.2">
      <c r="K307" s="34"/>
      <c r="L307" s="34"/>
      <c r="M307" s="34"/>
      <c r="N307" s="34"/>
    </row>
    <row r="308" spans="11:14" x14ac:dyDescent="0.2">
      <c r="K308" s="34"/>
      <c r="L308" s="34"/>
      <c r="M308" s="34"/>
      <c r="N308" s="34"/>
    </row>
    <row r="309" spans="11:14" x14ac:dyDescent="0.2">
      <c r="K309" s="34"/>
      <c r="L309" s="34"/>
      <c r="M309" s="34"/>
      <c r="N309" s="34"/>
    </row>
    <row r="310" spans="11:14" x14ac:dyDescent="0.2">
      <c r="K310" s="34"/>
      <c r="L310" s="34"/>
      <c r="M310" s="34"/>
      <c r="N310" s="34"/>
    </row>
    <row r="311" spans="11:14" x14ac:dyDescent="0.2">
      <c r="K311" s="34"/>
      <c r="L311" s="34"/>
      <c r="M311" s="34"/>
      <c r="N311" s="34"/>
    </row>
    <row r="312" spans="11:14" x14ac:dyDescent="0.2">
      <c r="K312" s="34"/>
      <c r="L312" s="34"/>
      <c r="M312" s="34"/>
      <c r="N312" s="34"/>
    </row>
    <row r="313" spans="11:14" x14ac:dyDescent="0.2">
      <c r="K313" s="34"/>
      <c r="L313" s="34"/>
      <c r="M313" s="34"/>
      <c r="N313" s="34"/>
    </row>
    <row r="314" spans="11:14" x14ac:dyDescent="0.2">
      <c r="K314" s="34"/>
      <c r="L314" s="34"/>
      <c r="M314" s="34"/>
      <c r="N314" s="34"/>
    </row>
    <row r="315" spans="11:14" x14ac:dyDescent="0.2">
      <c r="K315" s="34"/>
      <c r="L315" s="34"/>
      <c r="M315" s="34"/>
      <c r="N315" s="34"/>
    </row>
    <row r="316" spans="11:14" x14ac:dyDescent="0.2">
      <c r="K316" s="34"/>
      <c r="L316" s="34"/>
      <c r="M316" s="34"/>
      <c r="N316" s="34"/>
    </row>
    <row r="317" spans="11:14" x14ac:dyDescent="0.2">
      <c r="K317" s="34"/>
      <c r="L317" s="34"/>
      <c r="M317" s="34"/>
      <c r="N317" s="34"/>
    </row>
    <row r="318" spans="11:14" x14ac:dyDescent="0.2">
      <c r="K318" s="34"/>
      <c r="L318" s="34"/>
      <c r="M318" s="34"/>
      <c r="N318" s="34"/>
    </row>
    <row r="319" spans="11:14" x14ac:dyDescent="0.2">
      <c r="K319" s="34"/>
      <c r="L319" s="34"/>
      <c r="M319" s="34"/>
      <c r="N319" s="34"/>
    </row>
    <row r="320" spans="11:14" x14ac:dyDescent="0.2">
      <c r="K320" s="34"/>
      <c r="L320" s="34"/>
      <c r="M320" s="34"/>
      <c r="N320" s="34"/>
    </row>
    <row r="321" spans="11:14" x14ac:dyDescent="0.2">
      <c r="K321" s="34"/>
      <c r="L321" s="34"/>
      <c r="M321" s="34"/>
      <c r="N321" s="34"/>
    </row>
    <row r="322" spans="11:14" x14ac:dyDescent="0.2">
      <c r="K322" s="34"/>
      <c r="L322" s="34"/>
      <c r="M322" s="34"/>
      <c r="N322" s="34"/>
    </row>
    <row r="323" spans="11:14" x14ac:dyDescent="0.2">
      <c r="K323" s="34"/>
      <c r="L323" s="34"/>
      <c r="M323" s="34"/>
      <c r="N323" s="34"/>
    </row>
    <row r="324" spans="11:14" x14ac:dyDescent="0.2">
      <c r="K324" s="34"/>
      <c r="L324" s="34"/>
      <c r="M324" s="34"/>
      <c r="N324" s="34"/>
    </row>
    <row r="325" spans="11:14" x14ac:dyDescent="0.2">
      <c r="K325" s="34"/>
      <c r="L325" s="34"/>
      <c r="M325" s="34"/>
      <c r="N325" s="34"/>
    </row>
    <row r="326" spans="11:14" x14ac:dyDescent="0.2">
      <c r="K326" s="34"/>
      <c r="L326" s="34"/>
      <c r="M326" s="34"/>
      <c r="N326" s="34"/>
    </row>
    <row r="327" spans="11:14" x14ac:dyDescent="0.2">
      <c r="K327" s="34"/>
      <c r="L327" s="34"/>
      <c r="M327" s="34"/>
      <c r="N327" s="34"/>
    </row>
    <row r="328" spans="11:14" x14ac:dyDescent="0.2">
      <c r="K328" s="34"/>
      <c r="L328" s="34"/>
      <c r="M328" s="34"/>
      <c r="N328" s="34"/>
    </row>
    <row r="329" spans="11:14" x14ac:dyDescent="0.2">
      <c r="K329" s="34"/>
      <c r="L329" s="34"/>
      <c r="M329" s="34"/>
      <c r="N329" s="34"/>
    </row>
    <row r="330" spans="11:14" x14ac:dyDescent="0.2">
      <c r="K330" s="34"/>
      <c r="L330" s="34"/>
      <c r="M330" s="34"/>
      <c r="N330" s="34"/>
    </row>
    <row r="331" spans="11:14" x14ac:dyDescent="0.2">
      <c r="K331" s="34"/>
      <c r="L331" s="34"/>
      <c r="M331" s="34"/>
      <c r="N331" s="34"/>
    </row>
    <row r="332" spans="11:14" x14ac:dyDescent="0.2">
      <c r="K332" s="34"/>
      <c r="L332" s="34"/>
      <c r="M332" s="34"/>
      <c r="N332" s="34"/>
    </row>
    <row r="333" spans="11:14" x14ac:dyDescent="0.2">
      <c r="K333" s="34"/>
      <c r="L333" s="34"/>
      <c r="M333" s="34"/>
      <c r="N333" s="34"/>
    </row>
    <row r="334" spans="11:14" x14ac:dyDescent="0.2">
      <c r="K334" s="34"/>
      <c r="L334" s="34"/>
      <c r="M334" s="34"/>
      <c r="N334" s="34"/>
    </row>
    <row r="335" spans="11:14" x14ac:dyDescent="0.2">
      <c r="K335" s="34"/>
      <c r="L335" s="34"/>
      <c r="M335" s="34"/>
      <c r="N335" s="34"/>
    </row>
    <row r="336" spans="11:14" x14ac:dyDescent="0.2">
      <c r="K336" s="34"/>
      <c r="L336" s="34"/>
      <c r="M336" s="34"/>
      <c r="N336" s="34"/>
    </row>
    <row r="337" spans="11:14" x14ac:dyDescent="0.2">
      <c r="K337" s="34"/>
      <c r="L337" s="34"/>
      <c r="M337" s="34"/>
      <c r="N337" s="34"/>
    </row>
    <row r="338" spans="11:14" x14ac:dyDescent="0.2">
      <c r="K338" s="34"/>
      <c r="L338" s="34"/>
      <c r="M338" s="34"/>
      <c r="N338" s="34"/>
    </row>
    <row r="339" spans="11:14" x14ac:dyDescent="0.2">
      <c r="K339" s="34"/>
      <c r="L339" s="34"/>
      <c r="M339" s="34"/>
      <c r="N339" s="34"/>
    </row>
    <row r="340" spans="11:14" x14ac:dyDescent="0.2">
      <c r="K340" s="34"/>
      <c r="L340" s="34"/>
      <c r="M340" s="34"/>
      <c r="N340" s="34"/>
    </row>
    <row r="341" spans="11:14" x14ac:dyDescent="0.2">
      <c r="K341" s="34"/>
      <c r="L341" s="34"/>
      <c r="M341" s="34"/>
      <c r="N341" s="34"/>
    </row>
    <row r="342" spans="11:14" x14ac:dyDescent="0.2">
      <c r="K342" s="34"/>
      <c r="L342" s="34"/>
      <c r="M342" s="34"/>
      <c r="N342" s="34"/>
    </row>
    <row r="343" spans="11:14" x14ac:dyDescent="0.2">
      <c r="K343" s="34"/>
      <c r="L343" s="34"/>
      <c r="M343" s="34"/>
      <c r="N343" s="34"/>
    </row>
    <row r="344" spans="11:14" x14ac:dyDescent="0.2">
      <c r="K344" s="34"/>
      <c r="L344" s="34"/>
      <c r="M344" s="34"/>
      <c r="N344" s="34"/>
    </row>
    <row r="345" spans="11:14" x14ac:dyDescent="0.2">
      <c r="K345" s="34"/>
      <c r="L345" s="34"/>
      <c r="M345" s="34"/>
      <c r="N345" s="34"/>
    </row>
    <row r="346" spans="11:14" x14ac:dyDescent="0.2">
      <c r="K346" s="34"/>
      <c r="L346" s="34"/>
      <c r="M346" s="34"/>
      <c r="N346" s="34"/>
    </row>
    <row r="347" spans="11:14" x14ac:dyDescent="0.2">
      <c r="K347" s="34"/>
      <c r="L347" s="34"/>
      <c r="M347" s="34"/>
      <c r="N347" s="34"/>
    </row>
    <row r="348" spans="11:14" x14ac:dyDescent="0.2">
      <c r="K348" s="34"/>
      <c r="L348" s="34"/>
      <c r="M348" s="34"/>
      <c r="N348" s="34"/>
    </row>
    <row r="349" spans="11:14" x14ac:dyDescent="0.2">
      <c r="K349" s="34"/>
      <c r="L349" s="34"/>
      <c r="M349" s="34"/>
      <c r="N349" s="34"/>
    </row>
    <row r="350" spans="11:14" x14ac:dyDescent="0.2">
      <c r="K350" s="34"/>
      <c r="L350" s="34"/>
      <c r="M350" s="34"/>
      <c r="N350" s="34"/>
    </row>
    <row r="351" spans="11:14" x14ac:dyDescent="0.2">
      <c r="K351" s="34"/>
      <c r="L351" s="34"/>
      <c r="M351" s="34"/>
      <c r="N351" s="34"/>
    </row>
    <row r="352" spans="11:14" x14ac:dyDescent="0.2">
      <c r="K352" s="34"/>
      <c r="L352" s="34"/>
      <c r="M352" s="34"/>
      <c r="N352" s="34"/>
    </row>
    <row r="353" spans="11:14" x14ac:dyDescent="0.2">
      <c r="K353" s="34"/>
      <c r="L353" s="34"/>
      <c r="M353" s="34"/>
      <c r="N353" s="34"/>
    </row>
    <row r="354" spans="11:14" x14ac:dyDescent="0.2">
      <c r="K354" s="34"/>
      <c r="L354" s="34"/>
      <c r="M354" s="34"/>
      <c r="N354" s="34"/>
    </row>
    <row r="355" spans="11:14" x14ac:dyDescent="0.2">
      <c r="K355" s="34"/>
      <c r="L355" s="34"/>
      <c r="M355" s="34"/>
      <c r="N355" s="34"/>
    </row>
    <row r="356" spans="11:14" x14ac:dyDescent="0.2">
      <c r="K356" s="34"/>
      <c r="L356" s="34"/>
      <c r="M356" s="34"/>
      <c r="N356" s="34"/>
    </row>
    <row r="357" spans="11:14" x14ac:dyDescent="0.2">
      <c r="K357" s="34"/>
      <c r="L357" s="34"/>
      <c r="M357" s="34"/>
      <c r="N357" s="34"/>
    </row>
    <row r="358" spans="11:14" x14ac:dyDescent="0.2">
      <c r="K358" s="34"/>
      <c r="L358" s="34"/>
      <c r="M358" s="34"/>
      <c r="N358" s="34"/>
    </row>
    <row r="359" spans="11:14" x14ac:dyDescent="0.2">
      <c r="K359" s="34"/>
      <c r="L359" s="34"/>
      <c r="M359" s="34"/>
      <c r="N359" s="34"/>
    </row>
    <row r="360" spans="11:14" x14ac:dyDescent="0.2">
      <c r="K360" s="34"/>
      <c r="L360" s="34"/>
      <c r="M360" s="34"/>
      <c r="N360" s="34"/>
    </row>
    <row r="361" spans="11:14" x14ac:dyDescent="0.2">
      <c r="K361" s="34"/>
      <c r="L361" s="34"/>
      <c r="M361" s="34"/>
      <c r="N361" s="34"/>
    </row>
    <row r="362" spans="11:14" x14ac:dyDescent="0.2">
      <c r="K362" s="34"/>
      <c r="L362" s="34"/>
      <c r="M362" s="34"/>
      <c r="N362" s="34"/>
    </row>
    <row r="363" spans="11:14" x14ac:dyDescent="0.2">
      <c r="K363" s="34"/>
      <c r="L363" s="34"/>
      <c r="M363" s="34"/>
      <c r="N363" s="34"/>
    </row>
    <row r="364" spans="11:14" x14ac:dyDescent="0.2">
      <c r="K364" s="34"/>
      <c r="L364" s="34"/>
      <c r="M364" s="34"/>
      <c r="N364" s="34"/>
    </row>
    <row r="365" spans="11:14" x14ac:dyDescent="0.2">
      <c r="K365" s="34"/>
      <c r="L365" s="34"/>
      <c r="M365" s="34"/>
      <c r="N365" s="34"/>
    </row>
    <row r="366" spans="11:14" x14ac:dyDescent="0.2">
      <c r="K366" s="34"/>
      <c r="L366" s="34"/>
      <c r="M366" s="34"/>
      <c r="N366" s="34"/>
    </row>
    <row r="367" spans="11:14" x14ac:dyDescent="0.2">
      <c r="K367" s="34"/>
      <c r="L367" s="34"/>
      <c r="M367" s="34"/>
      <c r="N367" s="34"/>
    </row>
    <row r="368" spans="11:14" x14ac:dyDescent="0.2">
      <c r="K368" s="34"/>
      <c r="L368" s="34"/>
      <c r="M368" s="34"/>
      <c r="N368" s="34"/>
    </row>
    <row r="369" spans="11:14" x14ac:dyDescent="0.2">
      <c r="K369" s="34"/>
      <c r="L369" s="34"/>
      <c r="M369" s="34"/>
      <c r="N369" s="34"/>
    </row>
    <row r="370" spans="11:14" x14ac:dyDescent="0.2">
      <c r="K370" s="34"/>
      <c r="L370" s="34"/>
      <c r="M370" s="34"/>
      <c r="N370" s="34"/>
    </row>
    <row r="371" spans="11:14" x14ac:dyDescent="0.2">
      <c r="K371" s="34"/>
      <c r="L371" s="34"/>
      <c r="M371" s="34"/>
      <c r="N371" s="34"/>
    </row>
    <row r="372" spans="11:14" x14ac:dyDescent="0.2">
      <c r="K372" s="34"/>
      <c r="L372" s="34"/>
      <c r="M372" s="34"/>
      <c r="N372" s="34"/>
    </row>
    <row r="373" spans="11:14" x14ac:dyDescent="0.2">
      <c r="K373" s="34"/>
      <c r="L373" s="34"/>
      <c r="M373" s="34"/>
      <c r="N373" s="34"/>
    </row>
    <row r="374" spans="11:14" x14ac:dyDescent="0.2">
      <c r="K374" s="34"/>
      <c r="L374" s="34"/>
      <c r="M374" s="34"/>
      <c r="N374" s="34"/>
    </row>
    <row r="375" spans="11:14" x14ac:dyDescent="0.2">
      <c r="K375" s="34"/>
      <c r="L375" s="34"/>
      <c r="M375" s="34"/>
      <c r="N375" s="34"/>
    </row>
    <row r="376" spans="11:14" x14ac:dyDescent="0.2">
      <c r="K376" s="34"/>
      <c r="L376" s="34"/>
      <c r="M376" s="34"/>
      <c r="N376" s="34"/>
    </row>
    <row r="377" spans="11:14" x14ac:dyDescent="0.2">
      <c r="K377" s="34"/>
      <c r="L377" s="34"/>
      <c r="M377" s="34"/>
      <c r="N377" s="34"/>
    </row>
    <row r="378" spans="11:14" x14ac:dyDescent="0.2">
      <c r="K378" s="34"/>
      <c r="L378" s="34"/>
      <c r="M378" s="34"/>
      <c r="N378" s="34"/>
    </row>
    <row r="379" spans="11:14" x14ac:dyDescent="0.2">
      <c r="K379" s="34"/>
      <c r="L379" s="34"/>
      <c r="M379" s="34"/>
      <c r="N379" s="34"/>
    </row>
    <row r="380" spans="11:14" x14ac:dyDescent="0.2">
      <c r="K380" s="34"/>
      <c r="L380" s="34"/>
      <c r="M380" s="34"/>
      <c r="N380" s="34"/>
    </row>
    <row r="381" spans="11:14" x14ac:dyDescent="0.2">
      <c r="K381" s="34"/>
      <c r="L381" s="34"/>
      <c r="M381" s="34"/>
      <c r="N381" s="34"/>
    </row>
    <row r="382" spans="11:14" x14ac:dyDescent="0.2">
      <c r="K382" s="34"/>
      <c r="L382" s="34"/>
      <c r="M382" s="34"/>
      <c r="N382" s="34"/>
    </row>
    <row r="383" spans="11:14" x14ac:dyDescent="0.2">
      <c r="K383" s="34"/>
      <c r="L383" s="34"/>
      <c r="M383" s="34"/>
      <c r="N383" s="34"/>
    </row>
    <row r="384" spans="11:14" x14ac:dyDescent="0.2">
      <c r="K384" s="34"/>
      <c r="L384" s="34"/>
      <c r="M384" s="34"/>
      <c r="N384" s="34"/>
    </row>
    <row r="385" spans="11:14" x14ac:dyDescent="0.2">
      <c r="K385" s="34"/>
      <c r="L385" s="34"/>
      <c r="M385" s="34"/>
      <c r="N385" s="34"/>
    </row>
    <row r="386" spans="11:14" x14ac:dyDescent="0.2">
      <c r="K386" s="34"/>
      <c r="L386" s="34"/>
      <c r="M386" s="34"/>
      <c r="N386" s="34"/>
    </row>
    <row r="387" spans="11:14" x14ac:dyDescent="0.2">
      <c r="K387" s="34"/>
      <c r="L387" s="34"/>
      <c r="M387" s="34"/>
      <c r="N387" s="34"/>
    </row>
    <row r="388" spans="11:14" x14ac:dyDescent="0.2">
      <c r="K388" s="34"/>
      <c r="L388" s="34"/>
      <c r="M388" s="34"/>
      <c r="N388" s="34"/>
    </row>
    <row r="389" spans="11:14" x14ac:dyDescent="0.2">
      <c r="K389" s="34"/>
      <c r="L389" s="34"/>
      <c r="M389" s="34"/>
      <c r="N389" s="34"/>
    </row>
    <row r="390" spans="11:14" x14ac:dyDescent="0.2">
      <c r="K390" s="34"/>
      <c r="L390" s="34"/>
      <c r="M390" s="34"/>
      <c r="N390" s="34"/>
    </row>
    <row r="391" spans="11:14" x14ac:dyDescent="0.2">
      <c r="K391" s="34"/>
      <c r="L391" s="34"/>
      <c r="M391" s="34"/>
      <c r="N391" s="34"/>
    </row>
    <row r="392" spans="11:14" x14ac:dyDescent="0.2">
      <c r="K392" s="34"/>
      <c r="L392" s="34"/>
      <c r="M392" s="34"/>
      <c r="N392" s="34"/>
    </row>
    <row r="393" spans="11:14" x14ac:dyDescent="0.2">
      <c r="K393" s="34"/>
      <c r="L393" s="34"/>
      <c r="M393" s="34"/>
      <c r="N393" s="34"/>
    </row>
    <row r="394" spans="11:14" x14ac:dyDescent="0.2">
      <c r="K394" s="34"/>
      <c r="L394" s="34"/>
      <c r="M394" s="34"/>
      <c r="N394" s="34"/>
    </row>
    <row r="395" spans="11:14" x14ac:dyDescent="0.2">
      <c r="K395" s="34"/>
      <c r="L395" s="34"/>
      <c r="M395" s="34"/>
      <c r="N395" s="34"/>
    </row>
    <row r="396" spans="11:14" x14ac:dyDescent="0.2">
      <c r="K396" s="34"/>
      <c r="L396" s="34"/>
      <c r="M396" s="34"/>
      <c r="N396" s="34"/>
    </row>
    <row r="397" spans="11:14" x14ac:dyDescent="0.2">
      <c r="K397" s="34"/>
      <c r="L397" s="34"/>
      <c r="M397" s="34"/>
      <c r="N397" s="34"/>
    </row>
    <row r="398" spans="11:14" x14ac:dyDescent="0.2">
      <c r="K398" s="34"/>
      <c r="L398" s="34"/>
      <c r="M398" s="34"/>
      <c r="N398" s="34"/>
    </row>
    <row r="399" spans="11:14" x14ac:dyDescent="0.2">
      <c r="K399" s="34"/>
      <c r="L399" s="34"/>
      <c r="M399" s="34"/>
      <c r="N399" s="34"/>
    </row>
    <row r="400" spans="11:14" x14ac:dyDescent="0.2">
      <c r="K400" s="34"/>
      <c r="L400" s="34"/>
      <c r="M400" s="34"/>
      <c r="N400" s="34"/>
    </row>
    <row r="401" spans="11:14" x14ac:dyDescent="0.2">
      <c r="K401" s="34"/>
      <c r="L401" s="34"/>
      <c r="M401" s="34"/>
      <c r="N401" s="34"/>
    </row>
    <row r="402" spans="11:14" x14ac:dyDescent="0.2">
      <c r="K402" s="34"/>
      <c r="L402" s="34"/>
      <c r="M402" s="34"/>
      <c r="N402" s="34"/>
    </row>
    <row r="403" spans="11:14" x14ac:dyDescent="0.2">
      <c r="K403" s="34"/>
      <c r="L403" s="34"/>
      <c r="M403" s="34"/>
      <c r="N403" s="34"/>
    </row>
    <row r="404" spans="11:14" x14ac:dyDescent="0.2">
      <c r="K404" s="34"/>
      <c r="L404" s="34"/>
      <c r="M404" s="34"/>
      <c r="N404" s="34"/>
    </row>
    <row r="405" spans="11:14" x14ac:dyDescent="0.2">
      <c r="K405" s="34"/>
      <c r="L405" s="34"/>
      <c r="M405" s="34"/>
      <c r="N405" s="34"/>
    </row>
    <row r="406" spans="11:14" x14ac:dyDescent="0.2">
      <c r="K406" s="34"/>
      <c r="L406" s="34"/>
      <c r="M406" s="34"/>
      <c r="N406" s="34"/>
    </row>
    <row r="407" spans="11:14" x14ac:dyDescent="0.2">
      <c r="K407" s="34"/>
      <c r="L407" s="34"/>
      <c r="M407" s="34"/>
      <c r="N407" s="34"/>
    </row>
    <row r="408" spans="11:14" x14ac:dyDescent="0.2">
      <c r="K408" s="34"/>
      <c r="L408" s="34"/>
      <c r="M408" s="34"/>
      <c r="N408" s="34"/>
    </row>
    <row r="409" spans="11:14" x14ac:dyDescent="0.2">
      <c r="K409" s="34"/>
      <c r="L409" s="34"/>
      <c r="M409" s="34"/>
      <c r="N409" s="34"/>
    </row>
    <row r="410" spans="11:14" x14ac:dyDescent="0.2">
      <c r="K410" s="34"/>
      <c r="L410" s="34"/>
      <c r="M410" s="34"/>
      <c r="N410" s="34"/>
    </row>
    <row r="411" spans="11:14" x14ac:dyDescent="0.2">
      <c r="K411" s="34"/>
      <c r="L411" s="34"/>
      <c r="M411" s="34"/>
      <c r="N411" s="34"/>
    </row>
    <row r="412" spans="11:14" x14ac:dyDescent="0.2">
      <c r="K412" s="34"/>
      <c r="L412" s="34"/>
      <c r="M412" s="34"/>
      <c r="N412" s="34"/>
    </row>
    <row r="413" spans="11:14" x14ac:dyDescent="0.2">
      <c r="K413" s="34"/>
      <c r="L413" s="34"/>
      <c r="M413" s="34"/>
      <c r="N413" s="34"/>
    </row>
    <row r="414" spans="11:14" x14ac:dyDescent="0.2">
      <c r="K414" s="34"/>
      <c r="L414" s="34"/>
      <c r="M414" s="34"/>
      <c r="N414" s="34"/>
    </row>
    <row r="415" spans="11:14" x14ac:dyDescent="0.2">
      <c r="K415" s="34"/>
      <c r="L415" s="34"/>
      <c r="M415" s="34"/>
      <c r="N415" s="34"/>
    </row>
    <row r="416" spans="11:14" x14ac:dyDescent="0.2">
      <c r="K416" s="34"/>
      <c r="L416" s="34"/>
      <c r="M416" s="34"/>
      <c r="N416" s="34"/>
    </row>
    <row r="417" spans="11:14" x14ac:dyDescent="0.2">
      <c r="K417" s="34"/>
      <c r="L417" s="34"/>
      <c r="M417" s="34"/>
      <c r="N417" s="34"/>
    </row>
    <row r="418" spans="11:14" x14ac:dyDescent="0.2">
      <c r="K418" s="34"/>
      <c r="L418" s="34"/>
      <c r="M418" s="34"/>
      <c r="N418" s="34"/>
    </row>
    <row r="419" spans="11:14" x14ac:dyDescent="0.2">
      <c r="K419" s="34"/>
      <c r="L419" s="34"/>
      <c r="M419" s="34"/>
      <c r="N419" s="34"/>
    </row>
    <row r="420" spans="11:14" x14ac:dyDescent="0.2">
      <c r="K420" s="34"/>
      <c r="L420" s="34"/>
      <c r="M420" s="34"/>
      <c r="N420" s="34"/>
    </row>
    <row r="421" spans="11:14" x14ac:dyDescent="0.2">
      <c r="K421" s="34"/>
      <c r="L421" s="34"/>
      <c r="M421" s="34"/>
      <c r="N421" s="34"/>
    </row>
    <row r="422" spans="11:14" x14ac:dyDescent="0.2">
      <c r="K422" s="34"/>
      <c r="L422" s="34"/>
      <c r="M422" s="34"/>
      <c r="N422" s="34"/>
    </row>
    <row r="423" spans="11:14" x14ac:dyDescent="0.2">
      <c r="K423" s="34"/>
      <c r="L423" s="34"/>
      <c r="M423" s="34"/>
      <c r="N423" s="34"/>
    </row>
    <row r="424" spans="11:14" x14ac:dyDescent="0.2">
      <c r="K424" s="34"/>
      <c r="L424" s="34"/>
      <c r="M424" s="34"/>
      <c r="N424" s="34"/>
    </row>
    <row r="425" spans="11:14" x14ac:dyDescent="0.2">
      <c r="K425" s="34"/>
      <c r="L425" s="34"/>
      <c r="M425" s="34"/>
      <c r="N425" s="34"/>
    </row>
    <row r="426" spans="11:14" x14ac:dyDescent="0.2">
      <c r="K426" s="34"/>
      <c r="L426" s="34"/>
      <c r="M426" s="34"/>
      <c r="N426" s="34"/>
    </row>
    <row r="427" spans="11:14" x14ac:dyDescent="0.2">
      <c r="K427" s="34"/>
      <c r="L427" s="34"/>
      <c r="M427" s="34"/>
      <c r="N427" s="34"/>
    </row>
    <row r="428" spans="11:14" x14ac:dyDescent="0.2">
      <c r="K428" s="34"/>
      <c r="L428" s="34"/>
      <c r="M428" s="34"/>
      <c r="N428" s="34"/>
    </row>
    <row r="429" spans="11:14" x14ac:dyDescent="0.2">
      <c r="K429" s="34"/>
      <c r="L429" s="34"/>
      <c r="M429" s="34"/>
      <c r="N429" s="34"/>
    </row>
    <row r="430" spans="11:14" x14ac:dyDescent="0.2">
      <c r="K430" s="34"/>
      <c r="L430" s="34"/>
      <c r="M430" s="34"/>
      <c r="N430" s="34"/>
    </row>
    <row r="431" spans="11:14" x14ac:dyDescent="0.2">
      <c r="K431" s="34"/>
      <c r="L431" s="34"/>
      <c r="M431" s="34"/>
      <c r="N431" s="34"/>
    </row>
    <row r="432" spans="11:14" x14ac:dyDescent="0.2">
      <c r="K432" s="34"/>
      <c r="L432" s="34"/>
      <c r="M432" s="34"/>
      <c r="N432" s="34"/>
    </row>
    <row r="433" spans="11:14" x14ac:dyDescent="0.2">
      <c r="K433" s="34"/>
      <c r="L433" s="34"/>
      <c r="M433" s="34"/>
      <c r="N433" s="34"/>
    </row>
    <row r="434" spans="11:14" x14ac:dyDescent="0.2">
      <c r="K434" s="34"/>
      <c r="L434" s="34"/>
      <c r="M434" s="34"/>
      <c r="N434" s="34"/>
    </row>
    <row r="435" spans="11:14" x14ac:dyDescent="0.2">
      <c r="K435" s="34"/>
      <c r="L435" s="34"/>
      <c r="M435" s="34"/>
      <c r="N435" s="34"/>
    </row>
    <row r="436" spans="11:14" x14ac:dyDescent="0.2">
      <c r="K436" s="34"/>
      <c r="L436" s="34"/>
      <c r="M436" s="34"/>
      <c r="N436" s="34"/>
    </row>
    <row r="437" spans="11:14" x14ac:dyDescent="0.2">
      <c r="K437" s="34"/>
      <c r="L437" s="34"/>
      <c r="M437" s="34"/>
      <c r="N437" s="34"/>
    </row>
    <row r="438" spans="11:14" x14ac:dyDescent="0.2">
      <c r="K438" s="34"/>
      <c r="L438" s="34"/>
      <c r="M438" s="34"/>
      <c r="N438" s="34"/>
    </row>
    <row r="439" spans="11:14" x14ac:dyDescent="0.2">
      <c r="K439" s="34"/>
      <c r="L439" s="34"/>
      <c r="M439" s="34"/>
      <c r="N439" s="34"/>
    </row>
    <row r="440" spans="11:14" x14ac:dyDescent="0.2">
      <c r="K440" s="34"/>
      <c r="L440" s="34"/>
      <c r="M440" s="34"/>
      <c r="N440" s="34"/>
    </row>
    <row r="441" spans="11:14" x14ac:dyDescent="0.2">
      <c r="K441" s="34"/>
      <c r="L441" s="34"/>
      <c r="M441" s="34"/>
      <c r="N441" s="34"/>
    </row>
    <row r="442" spans="11:14" x14ac:dyDescent="0.2">
      <c r="K442" s="34"/>
      <c r="L442" s="34"/>
      <c r="M442" s="34"/>
      <c r="N442" s="34"/>
    </row>
    <row r="443" spans="11:14" x14ac:dyDescent="0.2">
      <c r="K443" s="34"/>
      <c r="L443" s="34"/>
      <c r="M443" s="34"/>
      <c r="N443" s="34"/>
    </row>
    <row r="444" spans="11:14" x14ac:dyDescent="0.2">
      <c r="K444" s="34"/>
      <c r="L444" s="34"/>
      <c r="M444" s="34"/>
      <c r="N444" s="34"/>
    </row>
    <row r="445" spans="11:14" x14ac:dyDescent="0.2">
      <c r="K445" s="34"/>
      <c r="L445" s="34"/>
      <c r="M445" s="34"/>
      <c r="N445" s="34"/>
    </row>
    <row r="446" spans="11:14" x14ac:dyDescent="0.2">
      <c r="K446" s="34"/>
      <c r="L446" s="34"/>
      <c r="M446" s="34"/>
      <c r="N446" s="34"/>
    </row>
    <row r="447" spans="11:14" x14ac:dyDescent="0.2">
      <c r="K447" s="34"/>
      <c r="L447" s="34"/>
      <c r="M447" s="34"/>
      <c r="N447" s="34"/>
    </row>
    <row r="448" spans="11:14" x14ac:dyDescent="0.2">
      <c r="K448" s="34"/>
      <c r="L448" s="34"/>
      <c r="M448" s="34"/>
      <c r="N448" s="34"/>
    </row>
    <row r="449" spans="11:14" x14ac:dyDescent="0.2">
      <c r="K449" s="34"/>
      <c r="L449" s="34"/>
      <c r="M449" s="34"/>
      <c r="N449" s="34"/>
    </row>
    <row r="450" spans="11:14" x14ac:dyDescent="0.2">
      <c r="K450" s="34"/>
      <c r="L450" s="34"/>
      <c r="M450" s="34"/>
      <c r="N450" s="34"/>
    </row>
    <row r="451" spans="11:14" x14ac:dyDescent="0.2">
      <c r="K451" s="34"/>
      <c r="L451" s="34"/>
      <c r="M451" s="34"/>
      <c r="N451" s="34"/>
    </row>
    <row r="452" spans="11:14" x14ac:dyDescent="0.2">
      <c r="K452" s="34"/>
      <c r="L452" s="34"/>
      <c r="M452" s="34"/>
      <c r="N452" s="34"/>
    </row>
    <row r="453" spans="11:14" x14ac:dyDescent="0.2">
      <c r="K453" s="34"/>
      <c r="L453" s="34"/>
      <c r="M453" s="34"/>
      <c r="N453" s="34"/>
    </row>
    <row r="454" spans="11:14" x14ac:dyDescent="0.2">
      <c r="K454" s="34"/>
      <c r="L454" s="34"/>
      <c r="M454" s="34"/>
      <c r="N454" s="34"/>
    </row>
    <row r="455" spans="11:14" x14ac:dyDescent="0.2">
      <c r="K455" s="34"/>
      <c r="L455" s="34"/>
      <c r="M455" s="34"/>
      <c r="N455" s="34"/>
    </row>
    <row r="456" spans="11:14" x14ac:dyDescent="0.2">
      <c r="K456" s="34"/>
      <c r="L456" s="34"/>
      <c r="M456" s="34"/>
      <c r="N456" s="34"/>
    </row>
    <row r="457" spans="11:14" x14ac:dyDescent="0.2">
      <c r="K457" s="34"/>
      <c r="L457" s="34"/>
      <c r="M457" s="34"/>
      <c r="N457" s="34"/>
    </row>
    <row r="458" spans="11:14" x14ac:dyDescent="0.2">
      <c r="K458" s="34"/>
      <c r="L458" s="34"/>
      <c r="M458" s="34"/>
      <c r="N458" s="34"/>
    </row>
    <row r="459" spans="11:14" x14ac:dyDescent="0.2">
      <c r="K459" s="34"/>
      <c r="L459" s="34"/>
      <c r="M459" s="34"/>
      <c r="N459" s="34"/>
    </row>
    <row r="460" spans="11:14" x14ac:dyDescent="0.2">
      <c r="K460" s="34"/>
      <c r="L460" s="34"/>
      <c r="M460" s="34"/>
      <c r="N460" s="34"/>
    </row>
    <row r="461" spans="11:14" x14ac:dyDescent="0.2">
      <c r="K461" s="34"/>
      <c r="L461" s="34"/>
      <c r="M461" s="34"/>
      <c r="N461" s="34"/>
    </row>
    <row r="462" spans="11:14" x14ac:dyDescent="0.2">
      <c r="K462" s="34"/>
      <c r="L462" s="34"/>
      <c r="M462" s="34"/>
      <c r="N462" s="34"/>
    </row>
    <row r="463" spans="11:14" x14ac:dyDescent="0.2">
      <c r="K463" s="34"/>
      <c r="L463" s="34"/>
      <c r="M463" s="34"/>
      <c r="N463" s="34"/>
    </row>
    <row r="464" spans="11:14" x14ac:dyDescent="0.2">
      <c r="K464" s="34"/>
      <c r="L464" s="34"/>
      <c r="M464" s="34"/>
      <c r="N464" s="34"/>
    </row>
    <row r="465" spans="11:14" x14ac:dyDescent="0.2">
      <c r="K465" s="34"/>
      <c r="L465" s="34"/>
      <c r="M465" s="34"/>
      <c r="N465" s="34"/>
    </row>
    <row r="466" spans="11:14" x14ac:dyDescent="0.2">
      <c r="K466" s="34"/>
      <c r="L466" s="34"/>
      <c r="M466" s="34"/>
      <c r="N466" s="34"/>
    </row>
    <row r="467" spans="11:14" x14ac:dyDescent="0.2">
      <c r="K467" s="34"/>
      <c r="L467" s="34"/>
      <c r="M467" s="34"/>
      <c r="N467" s="34"/>
    </row>
    <row r="468" spans="11:14" x14ac:dyDescent="0.2">
      <c r="K468" s="34"/>
      <c r="L468" s="34"/>
      <c r="M468" s="34"/>
      <c r="N468" s="34"/>
    </row>
    <row r="469" spans="11:14" x14ac:dyDescent="0.2">
      <c r="K469" s="34"/>
      <c r="L469" s="34"/>
      <c r="M469" s="34"/>
      <c r="N469" s="34"/>
    </row>
    <row r="470" spans="11:14" x14ac:dyDescent="0.2">
      <c r="K470" s="34"/>
      <c r="L470" s="34"/>
      <c r="M470" s="34"/>
      <c r="N470" s="34"/>
    </row>
    <row r="471" spans="11:14" x14ac:dyDescent="0.2">
      <c r="K471" s="34"/>
      <c r="L471" s="34"/>
      <c r="M471" s="34"/>
      <c r="N471" s="34"/>
    </row>
    <row r="472" spans="11:14" x14ac:dyDescent="0.2">
      <c r="K472" s="34"/>
      <c r="L472" s="34"/>
      <c r="M472" s="34"/>
      <c r="N472" s="34"/>
    </row>
    <row r="473" spans="11:14" x14ac:dyDescent="0.2">
      <c r="K473" s="34"/>
      <c r="L473" s="34"/>
      <c r="M473" s="34"/>
      <c r="N473" s="34"/>
    </row>
    <row r="474" spans="11:14" x14ac:dyDescent="0.2">
      <c r="K474" s="34"/>
      <c r="L474" s="34"/>
      <c r="M474" s="34"/>
      <c r="N474" s="34"/>
    </row>
    <row r="475" spans="11:14" x14ac:dyDescent="0.2">
      <c r="K475" s="34"/>
      <c r="L475" s="34"/>
      <c r="M475" s="34"/>
      <c r="N475" s="34"/>
    </row>
    <row r="476" spans="11:14" x14ac:dyDescent="0.2">
      <c r="K476" s="34"/>
      <c r="L476" s="34"/>
      <c r="M476" s="34"/>
      <c r="N476" s="34"/>
    </row>
    <row r="477" spans="11:14" x14ac:dyDescent="0.2">
      <c r="K477" s="34"/>
      <c r="L477" s="34"/>
      <c r="M477" s="34"/>
      <c r="N477" s="34"/>
    </row>
    <row r="478" spans="11:14" x14ac:dyDescent="0.2">
      <c r="K478" s="34"/>
      <c r="L478" s="34"/>
      <c r="M478" s="34"/>
      <c r="N478" s="34"/>
    </row>
    <row r="479" spans="11:14" x14ac:dyDescent="0.2">
      <c r="K479" s="34"/>
      <c r="L479" s="34"/>
      <c r="M479" s="34"/>
      <c r="N479" s="34"/>
    </row>
    <row r="480" spans="11:14" x14ac:dyDescent="0.2">
      <c r="K480" s="34"/>
      <c r="L480" s="34"/>
      <c r="M480" s="34"/>
      <c r="N480" s="34"/>
    </row>
    <row r="481" spans="11:14" x14ac:dyDescent="0.2">
      <c r="K481" s="34"/>
      <c r="L481" s="34"/>
      <c r="M481" s="34"/>
      <c r="N481" s="34"/>
    </row>
    <row r="482" spans="11:14" x14ac:dyDescent="0.2">
      <c r="K482" s="34"/>
      <c r="L482" s="34"/>
      <c r="M482" s="34"/>
      <c r="N482" s="34"/>
    </row>
    <row r="483" spans="11:14" x14ac:dyDescent="0.2">
      <c r="K483" s="34"/>
      <c r="L483" s="34"/>
      <c r="M483" s="34"/>
      <c r="N483" s="34"/>
    </row>
    <row r="484" spans="11:14" x14ac:dyDescent="0.2">
      <c r="K484" s="34"/>
      <c r="L484" s="34"/>
      <c r="M484" s="34"/>
      <c r="N484" s="34"/>
    </row>
    <row r="485" spans="11:14" x14ac:dyDescent="0.2">
      <c r="K485" s="34"/>
      <c r="L485" s="34"/>
      <c r="M485" s="34"/>
      <c r="N485" s="34"/>
    </row>
    <row r="486" spans="11:14" x14ac:dyDescent="0.2">
      <c r="K486" s="34"/>
      <c r="L486" s="34"/>
      <c r="M486" s="34"/>
      <c r="N486" s="34"/>
    </row>
    <row r="487" spans="11:14" x14ac:dyDescent="0.2">
      <c r="K487" s="34"/>
      <c r="L487" s="34"/>
      <c r="M487" s="34"/>
      <c r="N487" s="34"/>
    </row>
    <row r="488" spans="11:14" x14ac:dyDescent="0.2">
      <c r="K488" s="34"/>
      <c r="L488" s="34"/>
      <c r="M488" s="34"/>
      <c r="N488" s="34"/>
    </row>
    <row r="489" spans="11:14" x14ac:dyDescent="0.2">
      <c r="K489" s="34"/>
      <c r="L489" s="34"/>
      <c r="M489" s="34"/>
      <c r="N489" s="34"/>
    </row>
    <row r="490" spans="11:14" x14ac:dyDescent="0.2">
      <c r="K490" s="34"/>
      <c r="L490" s="34"/>
      <c r="M490" s="34"/>
      <c r="N490" s="34"/>
    </row>
    <row r="491" spans="11:14" x14ac:dyDescent="0.2">
      <c r="K491" s="34"/>
      <c r="L491" s="34"/>
      <c r="M491" s="34"/>
      <c r="N491" s="34"/>
    </row>
    <row r="492" spans="11:14" x14ac:dyDescent="0.2">
      <c r="K492" s="34"/>
      <c r="L492" s="34"/>
      <c r="M492" s="34"/>
      <c r="N492" s="34"/>
    </row>
    <row r="493" spans="11:14" x14ac:dyDescent="0.2">
      <c r="K493" s="34"/>
      <c r="L493" s="34"/>
      <c r="M493" s="34"/>
      <c r="N493" s="34"/>
    </row>
    <row r="494" spans="11:14" x14ac:dyDescent="0.2">
      <c r="K494" s="34"/>
      <c r="L494" s="34"/>
      <c r="M494" s="34"/>
      <c r="N494" s="34"/>
    </row>
    <row r="495" spans="11:14" x14ac:dyDescent="0.2">
      <c r="K495" s="34"/>
      <c r="L495" s="34"/>
      <c r="M495" s="34"/>
      <c r="N495" s="34"/>
    </row>
    <row r="496" spans="11:14" x14ac:dyDescent="0.2">
      <c r="K496" s="34"/>
      <c r="L496" s="34"/>
      <c r="M496" s="34"/>
      <c r="N496" s="34"/>
    </row>
    <row r="497" spans="11:14" x14ac:dyDescent="0.2">
      <c r="K497" s="34"/>
      <c r="L497" s="34"/>
      <c r="M497" s="34"/>
      <c r="N497" s="34"/>
    </row>
    <row r="498" spans="11:14" x14ac:dyDescent="0.2">
      <c r="K498" s="34"/>
      <c r="L498" s="34"/>
      <c r="M498" s="34"/>
      <c r="N498" s="34"/>
    </row>
    <row r="499" spans="11:14" x14ac:dyDescent="0.2">
      <c r="K499" s="34"/>
      <c r="L499" s="34"/>
      <c r="M499" s="34"/>
      <c r="N499" s="34"/>
    </row>
    <row r="500" spans="11:14" x14ac:dyDescent="0.2">
      <c r="K500" s="34"/>
      <c r="L500" s="34"/>
      <c r="M500" s="34"/>
      <c r="N500" s="34"/>
    </row>
  </sheetData>
  <phoneticPr fontId="30" type="noConversion"/>
  <conditionalFormatting sqref="N6:N17">
    <cfRule type="cellIs" dxfId="302" priority="1" operator="lessThan">
      <formula>0</formula>
    </cfRule>
  </conditionalFormatting>
  <pageMargins left="0.511811024" right="0.511811024" top="0.78740157499999996" bottom="0.78740157499999996" header="0.31496062000000002" footer="0.31496062000000002"/>
  <drawing r:id="rId6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CBAEA-BCF7-4349-8FA6-A4EB83375540}">
  <sheetPr codeName="Planilha5"/>
  <dimension ref="A1:O1000"/>
  <sheetViews>
    <sheetView showGridLines="0" showRowColHeaders="0" workbookViewId="0">
      <selection activeCell="A7" sqref="A7"/>
    </sheetView>
  </sheetViews>
  <sheetFormatPr baseColWidth="10" defaultColWidth="11.83203125" defaultRowHeight="16" zeroHeight="1" x14ac:dyDescent="0.2"/>
  <cols>
    <col min="1" max="1" width="36" style="98" customWidth="1"/>
    <col min="2" max="2" width="17.6640625" style="77" customWidth="1"/>
    <col min="3" max="3" width="11.83203125" style="60"/>
    <col min="4" max="15" width="11.83203125" style="62"/>
    <col min="16" max="16384" width="11.83203125" style="60"/>
  </cols>
  <sheetData>
    <row r="1" spans="1:15" ht="15" x14ac:dyDescent="0.2">
      <c r="A1" s="101"/>
      <c r="B1" s="99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  <c r="O1" s="60"/>
    </row>
    <row r="2" spans="1:15" ht="15" x14ac:dyDescent="0.2">
      <c r="A2" s="102"/>
      <c r="B2" s="100"/>
      <c r="D2" s="60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</row>
    <row r="3" spans="1:15" ht="15" x14ac:dyDescent="0.2">
      <c r="A3" s="102"/>
      <c r="B3" s="10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</row>
    <row r="4" spans="1:15" ht="15" x14ac:dyDescent="0.2">
      <c r="A4" s="102"/>
      <c r="B4" s="100"/>
      <c r="D4" s="60"/>
      <c r="E4" s="60"/>
      <c r="F4" s="60"/>
      <c r="G4" s="60"/>
      <c r="H4" s="60"/>
      <c r="I4" s="60"/>
      <c r="J4" s="60"/>
      <c r="K4" s="60"/>
      <c r="L4" s="60"/>
      <c r="M4" s="60"/>
      <c r="N4" s="60"/>
      <c r="O4" s="60"/>
    </row>
    <row r="5" spans="1:15" ht="15" x14ac:dyDescent="0.2">
      <c r="A5" s="102"/>
      <c r="B5" s="10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</row>
    <row r="6" spans="1:15" x14ac:dyDescent="0.2">
      <c r="A6" s="178" t="s">
        <v>151</v>
      </c>
      <c r="B6" s="179" t="s">
        <v>152</v>
      </c>
      <c r="D6" s="61"/>
      <c r="E6" s="61"/>
      <c r="F6" s="61"/>
      <c r="G6" s="61"/>
      <c r="H6" s="61"/>
      <c r="I6" s="61"/>
      <c r="J6" s="61"/>
      <c r="K6" s="61"/>
      <c r="L6" s="61"/>
      <c r="M6" s="61"/>
      <c r="N6" s="61"/>
      <c r="O6" s="61"/>
    </row>
    <row r="7" spans="1:15" x14ac:dyDescent="0.2">
      <c r="A7" s="62"/>
      <c r="B7" s="62"/>
    </row>
    <row r="8" spans="1:15" x14ac:dyDescent="0.2">
      <c r="A8" s="62"/>
      <c r="B8" s="62"/>
    </row>
    <row r="9" spans="1:15" x14ac:dyDescent="0.2">
      <c r="A9" s="62"/>
      <c r="B9" s="62"/>
    </row>
    <row r="10" spans="1:15" x14ac:dyDescent="0.2">
      <c r="A10" s="62"/>
      <c r="B10" s="62"/>
    </row>
    <row r="11" spans="1:15" x14ac:dyDescent="0.2">
      <c r="A11" s="62"/>
      <c r="B11" s="62"/>
    </row>
    <row r="12" spans="1:15" x14ac:dyDescent="0.2">
      <c r="A12" s="62"/>
      <c r="B12" s="62"/>
    </row>
    <row r="13" spans="1:15" x14ac:dyDescent="0.2">
      <c r="A13" s="62"/>
      <c r="B13" s="62"/>
    </row>
    <row r="14" spans="1:15" x14ac:dyDescent="0.2">
      <c r="A14" s="62"/>
      <c r="B14" s="62"/>
    </row>
    <row r="15" spans="1:15" x14ac:dyDescent="0.2">
      <c r="A15" s="62"/>
      <c r="B15" s="62"/>
    </row>
    <row r="16" spans="1:15" x14ac:dyDescent="0.2">
      <c r="A16" s="62"/>
      <c r="B16" s="62"/>
    </row>
    <row r="17" spans="1:2" x14ac:dyDescent="0.2">
      <c r="A17" s="62"/>
      <c r="B17" s="62"/>
    </row>
    <row r="18" spans="1:2" x14ac:dyDescent="0.2">
      <c r="A18" s="62"/>
      <c r="B18" s="62"/>
    </row>
    <row r="19" spans="1:2" x14ac:dyDescent="0.2">
      <c r="A19" s="62"/>
      <c r="B19" s="62"/>
    </row>
    <row r="20" spans="1:2" x14ac:dyDescent="0.2">
      <c r="A20" s="62"/>
      <c r="B20" s="62"/>
    </row>
    <row r="21" spans="1:2" x14ac:dyDescent="0.2">
      <c r="A21" s="62"/>
      <c r="B21" s="62"/>
    </row>
    <row r="22" spans="1:2" x14ac:dyDescent="0.2">
      <c r="A22" s="62"/>
      <c r="B22" s="62"/>
    </row>
    <row r="23" spans="1:2" x14ac:dyDescent="0.2">
      <c r="A23" s="62"/>
      <c r="B23" s="62"/>
    </row>
    <row r="24" spans="1:2" x14ac:dyDescent="0.2">
      <c r="A24" s="62"/>
      <c r="B24" s="62"/>
    </row>
    <row r="25" spans="1:2" x14ac:dyDescent="0.2">
      <c r="A25" s="62"/>
      <c r="B25" s="62"/>
    </row>
    <row r="26" spans="1:2" x14ac:dyDescent="0.2">
      <c r="A26" s="62"/>
      <c r="B26" s="62"/>
    </row>
    <row r="27" spans="1:2" x14ac:dyDescent="0.2">
      <c r="A27" s="62"/>
      <c r="B27" s="62"/>
    </row>
    <row r="28" spans="1:2" x14ac:dyDescent="0.2">
      <c r="A28" s="62"/>
      <c r="B28" s="62"/>
    </row>
    <row r="29" spans="1:2" x14ac:dyDescent="0.2">
      <c r="A29" s="62"/>
      <c r="B29" s="62"/>
    </row>
    <row r="30" spans="1:2" x14ac:dyDescent="0.2">
      <c r="A30" s="62"/>
      <c r="B30" s="62"/>
    </row>
    <row r="31" spans="1:2" x14ac:dyDescent="0.2">
      <c r="A31" s="62"/>
      <c r="B31" s="62"/>
    </row>
    <row r="32" spans="1:2" x14ac:dyDescent="0.2">
      <c r="A32" s="62"/>
      <c r="B32" s="62"/>
    </row>
    <row r="33" spans="1:2" x14ac:dyDescent="0.2">
      <c r="A33" s="62"/>
      <c r="B33" s="62"/>
    </row>
    <row r="34" spans="1:2" x14ac:dyDescent="0.2">
      <c r="A34" s="62"/>
      <c r="B34" s="62"/>
    </row>
    <row r="35" spans="1:2" x14ac:dyDescent="0.2">
      <c r="A35" s="62"/>
      <c r="B35" s="62"/>
    </row>
    <row r="36" spans="1:2" x14ac:dyDescent="0.2">
      <c r="A36" s="62"/>
      <c r="B36" s="62"/>
    </row>
    <row r="37" spans="1:2" x14ac:dyDescent="0.2">
      <c r="A37" s="62"/>
      <c r="B37" s="62"/>
    </row>
    <row r="38" spans="1:2" x14ac:dyDescent="0.2">
      <c r="A38" s="62"/>
      <c r="B38" s="62"/>
    </row>
    <row r="39" spans="1:2" x14ac:dyDescent="0.2">
      <c r="A39" s="62"/>
      <c r="B39" s="62"/>
    </row>
    <row r="40" spans="1:2" x14ac:dyDescent="0.2">
      <c r="A40" s="62"/>
      <c r="B40" s="62"/>
    </row>
    <row r="41" spans="1:2" x14ac:dyDescent="0.2">
      <c r="A41" s="62"/>
      <c r="B41" s="62"/>
    </row>
    <row r="42" spans="1:2" x14ac:dyDescent="0.2">
      <c r="A42" s="62"/>
      <c r="B42" s="62"/>
    </row>
    <row r="43" spans="1:2" x14ac:dyDescent="0.2">
      <c r="A43" s="62"/>
      <c r="B43" s="62"/>
    </row>
    <row r="44" spans="1:2" x14ac:dyDescent="0.2">
      <c r="A44" s="62"/>
      <c r="B44" s="62"/>
    </row>
    <row r="45" spans="1:2" x14ac:dyDescent="0.2">
      <c r="A45" s="62"/>
      <c r="B45" s="62"/>
    </row>
    <row r="46" spans="1:2" x14ac:dyDescent="0.2">
      <c r="A46" s="62"/>
      <c r="B46" s="62"/>
    </row>
    <row r="47" spans="1:2" x14ac:dyDescent="0.2">
      <c r="A47" s="62"/>
      <c r="B47" s="62"/>
    </row>
    <row r="48" spans="1:2" x14ac:dyDescent="0.2">
      <c r="A48" s="62"/>
      <c r="B48" s="62"/>
    </row>
    <row r="49" spans="1:2" x14ac:dyDescent="0.2">
      <c r="A49" s="62"/>
      <c r="B49" s="62"/>
    </row>
    <row r="50" spans="1:2" x14ac:dyDescent="0.2">
      <c r="A50" s="62"/>
      <c r="B50" s="62"/>
    </row>
    <row r="51" spans="1:2" x14ac:dyDescent="0.2">
      <c r="A51" s="62"/>
      <c r="B51" s="62"/>
    </row>
    <row r="52" spans="1:2" x14ac:dyDescent="0.2">
      <c r="A52" s="62"/>
      <c r="B52" s="62"/>
    </row>
    <row r="53" spans="1:2" x14ac:dyDescent="0.2">
      <c r="A53" s="62"/>
      <c r="B53" s="62"/>
    </row>
    <row r="54" spans="1:2" x14ac:dyDescent="0.2">
      <c r="A54" s="62"/>
      <c r="B54" s="62"/>
    </row>
    <row r="55" spans="1:2" x14ac:dyDescent="0.2">
      <c r="A55" s="62"/>
      <c r="B55" s="62"/>
    </row>
    <row r="56" spans="1:2" x14ac:dyDescent="0.2">
      <c r="A56" s="62"/>
      <c r="B56" s="62"/>
    </row>
    <row r="57" spans="1:2" x14ac:dyDescent="0.2">
      <c r="A57" s="62"/>
      <c r="B57" s="62"/>
    </row>
    <row r="58" spans="1:2" x14ac:dyDescent="0.2">
      <c r="A58" s="62"/>
      <c r="B58" s="62"/>
    </row>
    <row r="59" spans="1:2" x14ac:dyDescent="0.2">
      <c r="A59" s="62"/>
      <c r="B59" s="62"/>
    </row>
    <row r="60" spans="1:2" x14ac:dyDescent="0.2">
      <c r="A60" s="62"/>
      <c r="B60" s="62"/>
    </row>
    <row r="61" spans="1:2" x14ac:dyDescent="0.2">
      <c r="A61" s="62"/>
      <c r="B61" s="62"/>
    </row>
    <row r="62" spans="1:2" x14ac:dyDescent="0.2">
      <c r="A62" s="62"/>
      <c r="B62" s="62"/>
    </row>
    <row r="63" spans="1:2" x14ac:dyDescent="0.2">
      <c r="A63" s="62"/>
      <c r="B63" s="62"/>
    </row>
    <row r="64" spans="1:2" x14ac:dyDescent="0.2">
      <c r="A64" s="62"/>
      <c r="B64" s="62"/>
    </row>
    <row r="65" spans="1:2" x14ac:dyDescent="0.2">
      <c r="A65" s="62"/>
      <c r="B65" s="62"/>
    </row>
    <row r="66" spans="1:2" x14ac:dyDescent="0.2">
      <c r="A66" s="62"/>
      <c r="B66" s="62"/>
    </row>
    <row r="67" spans="1:2" x14ac:dyDescent="0.2">
      <c r="A67" s="62"/>
      <c r="B67" s="62"/>
    </row>
    <row r="68" spans="1:2" x14ac:dyDescent="0.2">
      <c r="A68" s="62"/>
      <c r="B68" s="62"/>
    </row>
    <row r="69" spans="1:2" x14ac:dyDescent="0.2">
      <c r="A69" s="62"/>
      <c r="B69" s="62"/>
    </row>
    <row r="70" spans="1:2" x14ac:dyDescent="0.2">
      <c r="A70" s="62"/>
      <c r="B70" s="62"/>
    </row>
    <row r="71" spans="1:2" x14ac:dyDescent="0.2">
      <c r="A71" s="62"/>
      <c r="B71" s="62"/>
    </row>
    <row r="72" spans="1:2" x14ac:dyDescent="0.2">
      <c r="A72" s="62"/>
      <c r="B72" s="62"/>
    </row>
    <row r="73" spans="1:2" x14ac:dyDescent="0.2">
      <c r="A73" s="62"/>
      <c r="B73" s="62"/>
    </row>
    <row r="74" spans="1:2" x14ac:dyDescent="0.2">
      <c r="A74" s="62"/>
      <c r="B74" s="62"/>
    </row>
    <row r="75" spans="1:2" x14ac:dyDescent="0.2">
      <c r="A75" s="62"/>
      <c r="B75" s="62"/>
    </row>
    <row r="76" spans="1:2" x14ac:dyDescent="0.2">
      <c r="A76" s="62"/>
      <c r="B76" s="62"/>
    </row>
    <row r="77" spans="1:2" x14ac:dyDescent="0.2">
      <c r="A77" s="62"/>
      <c r="B77" s="62"/>
    </row>
    <row r="78" spans="1:2" x14ac:dyDescent="0.2">
      <c r="A78" s="62"/>
      <c r="B78" s="62"/>
    </row>
    <row r="79" spans="1:2" x14ac:dyDescent="0.2">
      <c r="A79" s="62"/>
      <c r="B79" s="62"/>
    </row>
    <row r="80" spans="1:2" x14ac:dyDescent="0.2">
      <c r="A80" s="62"/>
      <c r="B80" s="62"/>
    </row>
    <row r="81" spans="1:2" x14ac:dyDescent="0.2">
      <c r="A81" s="62"/>
      <c r="B81" s="62"/>
    </row>
    <row r="82" spans="1:2" x14ac:dyDescent="0.2">
      <c r="A82" s="62"/>
      <c r="B82" s="62"/>
    </row>
    <row r="83" spans="1:2" x14ac:dyDescent="0.2">
      <c r="A83" s="62"/>
      <c r="B83" s="62"/>
    </row>
    <row r="84" spans="1:2" x14ac:dyDescent="0.2">
      <c r="A84" s="62"/>
      <c r="B84" s="62"/>
    </row>
    <row r="85" spans="1:2" x14ac:dyDescent="0.2">
      <c r="A85" s="62"/>
      <c r="B85" s="62"/>
    </row>
    <row r="86" spans="1:2" x14ac:dyDescent="0.2">
      <c r="A86" s="62"/>
      <c r="B86" s="62"/>
    </row>
    <row r="87" spans="1:2" x14ac:dyDescent="0.2">
      <c r="A87" s="62"/>
      <c r="B87" s="62"/>
    </row>
    <row r="88" spans="1:2" x14ac:dyDescent="0.2">
      <c r="A88" s="62"/>
      <c r="B88" s="62"/>
    </row>
    <row r="89" spans="1:2" x14ac:dyDescent="0.2">
      <c r="A89" s="62"/>
      <c r="B89" s="62"/>
    </row>
    <row r="90" spans="1:2" x14ac:dyDescent="0.2">
      <c r="A90" s="62"/>
      <c r="B90" s="62"/>
    </row>
    <row r="91" spans="1:2" x14ac:dyDescent="0.2">
      <c r="A91" s="62"/>
      <c r="B91" s="62"/>
    </row>
    <row r="92" spans="1:2" x14ac:dyDescent="0.2">
      <c r="A92" s="62"/>
      <c r="B92" s="62"/>
    </row>
    <row r="93" spans="1:2" x14ac:dyDescent="0.2">
      <c r="A93" s="62"/>
      <c r="B93" s="62"/>
    </row>
    <row r="94" spans="1:2" x14ac:dyDescent="0.2">
      <c r="A94" s="62"/>
      <c r="B94" s="62"/>
    </row>
    <row r="95" spans="1:2" x14ac:dyDescent="0.2">
      <c r="A95" s="62"/>
      <c r="B95" s="62"/>
    </row>
    <row r="96" spans="1:2" x14ac:dyDescent="0.2">
      <c r="A96" s="62"/>
      <c r="B96" s="62"/>
    </row>
    <row r="97" spans="1:2" x14ac:dyDescent="0.2">
      <c r="A97" s="62"/>
      <c r="B97" s="62"/>
    </row>
    <row r="98" spans="1:2" x14ac:dyDescent="0.2">
      <c r="A98" s="62"/>
      <c r="B98" s="62"/>
    </row>
    <row r="99" spans="1:2" x14ac:dyDescent="0.2">
      <c r="A99" s="62"/>
      <c r="B99" s="62"/>
    </row>
    <row r="100" spans="1:2" x14ac:dyDescent="0.2">
      <c r="A100" s="62"/>
      <c r="B100" s="62"/>
    </row>
    <row r="101" spans="1:2" x14ac:dyDescent="0.2">
      <c r="A101" s="62"/>
      <c r="B101" s="62"/>
    </row>
    <row r="102" spans="1:2" x14ac:dyDescent="0.2">
      <c r="A102" s="62"/>
      <c r="B102" s="62"/>
    </row>
    <row r="103" spans="1:2" x14ac:dyDescent="0.2"/>
    <row r="104" spans="1:2" x14ac:dyDescent="0.2"/>
    <row r="105" spans="1:2" x14ac:dyDescent="0.2"/>
    <row r="106" spans="1:2" x14ac:dyDescent="0.2"/>
    <row r="107" spans="1:2" x14ac:dyDescent="0.2"/>
    <row r="108" spans="1:2" x14ac:dyDescent="0.2"/>
    <row r="109" spans="1:2" x14ac:dyDescent="0.2"/>
    <row r="110" spans="1:2" x14ac:dyDescent="0.2"/>
    <row r="111" spans="1:2" x14ac:dyDescent="0.2"/>
    <row r="112" spans="1:2" x14ac:dyDescent="0.2"/>
    <row r="113" x14ac:dyDescent="0.2"/>
    <row r="114" x14ac:dyDescent="0.2"/>
    <row r="115" x14ac:dyDescent="0.2"/>
    <row r="116" x14ac:dyDescent="0.2"/>
    <row r="117" x14ac:dyDescent="0.2"/>
    <row r="118" x14ac:dyDescent="0.2"/>
    <row r="119" x14ac:dyDescent="0.2"/>
    <row r="120" x14ac:dyDescent="0.2"/>
    <row r="121" x14ac:dyDescent="0.2"/>
    <row r="122" x14ac:dyDescent="0.2"/>
    <row r="123" x14ac:dyDescent="0.2"/>
    <row r="124" x14ac:dyDescent="0.2"/>
    <row r="125" x14ac:dyDescent="0.2"/>
    <row r="126" x14ac:dyDescent="0.2"/>
    <row r="127" x14ac:dyDescent="0.2"/>
    <row r="128" x14ac:dyDescent="0.2"/>
    <row r="129" x14ac:dyDescent="0.2"/>
    <row r="130" x14ac:dyDescent="0.2"/>
    <row r="131" x14ac:dyDescent="0.2"/>
    <row r="132" x14ac:dyDescent="0.2"/>
    <row r="133" x14ac:dyDescent="0.2"/>
    <row r="134" x14ac:dyDescent="0.2"/>
    <row r="135" x14ac:dyDescent="0.2"/>
    <row r="136" x14ac:dyDescent="0.2"/>
    <row r="137" x14ac:dyDescent="0.2"/>
    <row r="138" x14ac:dyDescent="0.2"/>
    <row r="139" x14ac:dyDescent="0.2"/>
    <row r="140" x14ac:dyDescent="0.2"/>
    <row r="141" x14ac:dyDescent="0.2"/>
    <row r="142" x14ac:dyDescent="0.2"/>
    <row r="143" x14ac:dyDescent="0.2"/>
    <row r="144" x14ac:dyDescent="0.2"/>
    <row r="145" x14ac:dyDescent="0.2"/>
    <row r="146" x14ac:dyDescent="0.2"/>
    <row r="147" x14ac:dyDescent="0.2"/>
    <row r="148" x14ac:dyDescent="0.2"/>
    <row r="149" x14ac:dyDescent="0.2"/>
    <row r="150" x14ac:dyDescent="0.2"/>
    <row r="151" x14ac:dyDescent="0.2"/>
    <row r="152" x14ac:dyDescent="0.2"/>
    <row r="153" x14ac:dyDescent="0.2"/>
    <row r="154" x14ac:dyDescent="0.2"/>
    <row r="155" x14ac:dyDescent="0.2"/>
    <row r="156" x14ac:dyDescent="0.2"/>
    <row r="157" x14ac:dyDescent="0.2"/>
    <row r="158" x14ac:dyDescent="0.2"/>
    <row r="159" x14ac:dyDescent="0.2"/>
    <row r="160" x14ac:dyDescent="0.2"/>
    <row r="161" x14ac:dyDescent="0.2"/>
    <row r="162" x14ac:dyDescent="0.2"/>
    <row r="163" x14ac:dyDescent="0.2"/>
    <row r="164" x14ac:dyDescent="0.2"/>
    <row r="165" x14ac:dyDescent="0.2"/>
    <row r="166" x14ac:dyDescent="0.2"/>
    <row r="167" x14ac:dyDescent="0.2"/>
    <row r="168" x14ac:dyDescent="0.2"/>
    <row r="169" x14ac:dyDescent="0.2"/>
    <row r="170" x14ac:dyDescent="0.2"/>
    <row r="171" x14ac:dyDescent="0.2"/>
    <row r="172" x14ac:dyDescent="0.2"/>
    <row r="173" x14ac:dyDescent="0.2"/>
    <row r="174" x14ac:dyDescent="0.2"/>
    <row r="175" x14ac:dyDescent="0.2"/>
    <row r="176" x14ac:dyDescent="0.2"/>
    <row r="177" x14ac:dyDescent="0.2"/>
    <row r="178" x14ac:dyDescent="0.2"/>
    <row r="179" x14ac:dyDescent="0.2"/>
    <row r="180" x14ac:dyDescent="0.2"/>
    <row r="181" x14ac:dyDescent="0.2"/>
    <row r="182" x14ac:dyDescent="0.2"/>
    <row r="183" x14ac:dyDescent="0.2"/>
    <row r="184" x14ac:dyDescent="0.2"/>
    <row r="185" x14ac:dyDescent="0.2"/>
    <row r="186" x14ac:dyDescent="0.2"/>
    <row r="187" x14ac:dyDescent="0.2"/>
    <row r="188" x14ac:dyDescent="0.2"/>
    <row r="189" x14ac:dyDescent="0.2"/>
    <row r="190" x14ac:dyDescent="0.2"/>
    <row r="191" x14ac:dyDescent="0.2"/>
    <row r="192" x14ac:dyDescent="0.2"/>
    <row r="193" x14ac:dyDescent="0.2"/>
    <row r="194" x14ac:dyDescent="0.2"/>
    <row r="195" x14ac:dyDescent="0.2"/>
    <row r="196" x14ac:dyDescent="0.2"/>
    <row r="197" x14ac:dyDescent="0.2"/>
    <row r="198" x14ac:dyDescent="0.2"/>
    <row r="199" x14ac:dyDescent="0.2"/>
    <row r="200" x14ac:dyDescent="0.2"/>
    <row r="201" x14ac:dyDescent="0.2"/>
    <row r="202" x14ac:dyDescent="0.2"/>
    <row r="203" x14ac:dyDescent="0.2"/>
    <row r="204" x14ac:dyDescent="0.2"/>
    <row r="205" x14ac:dyDescent="0.2"/>
    <row r="206" x14ac:dyDescent="0.2"/>
    <row r="207" x14ac:dyDescent="0.2"/>
    <row r="208" x14ac:dyDescent="0.2"/>
    <row r="209" x14ac:dyDescent="0.2"/>
    <row r="210" x14ac:dyDescent="0.2"/>
    <row r="211" x14ac:dyDescent="0.2"/>
    <row r="212" x14ac:dyDescent="0.2"/>
    <row r="213" x14ac:dyDescent="0.2"/>
    <row r="214" x14ac:dyDescent="0.2"/>
    <row r="215" x14ac:dyDescent="0.2"/>
    <row r="216" x14ac:dyDescent="0.2"/>
    <row r="217" x14ac:dyDescent="0.2"/>
    <row r="218" x14ac:dyDescent="0.2"/>
    <row r="219" x14ac:dyDescent="0.2"/>
    <row r="220" x14ac:dyDescent="0.2"/>
    <row r="221" x14ac:dyDescent="0.2"/>
    <row r="222" x14ac:dyDescent="0.2"/>
    <row r="223" x14ac:dyDescent="0.2"/>
    <row r="224" x14ac:dyDescent="0.2"/>
    <row r="225" x14ac:dyDescent="0.2"/>
    <row r="226" x14ac:dyDescent="0.2"/>
    <row r="227" x14ac:dyDescent="0.2"/>
    <row r="228" x14ac:dyDescent="0.2"/>
    <row r="229" x14ac:dyDescent="0.2"/>
    <row r="230" x14ac:dyDescent="0.2"/>
    <row r="231" x14ac:dyDescent="0.2"/>
    <row r="232" x14ac:dyDescent="0.2"/>
    <row r="233" x14ac:dyDescent="0.2"/>
    <row r="234" x14ac:dyDescent="0.2"/>
    <row r="235" x14ac:dyDescent="0.2"/>
    <row r="236" x14ac:dyDescent="0.2"/>
    <row r="237" x14ac:dyDescent="0.2"/>
    <row r="238" x14ac:dyDescent="0.2"/>
    <row r="239" x14ac:dyDescent="0.2"/>
    <row r="240" x14ac:dyDescent="0.2"/>
    <row r="241" x14ac:dyDescent="0.2"/>
    <row r="242" x14ac:dyDescent="0.2"/>
    <row r="243" x14ac:dyDescent="0.2"/>
    <row r="244" x14ac:dyDescent="0.2"/>
    <row r="245" x14ac:dyDescent="0.2"/>
    <row r="246" x14ac:dyDescent="0.2"/>
    <row r="247" x14ac:dyDescent="0.2"/>
    <row r="248" x14ac:dyDescent="0.2"/>
    <row r="249" x14ac:dyDescent="0.2"/>
    <row r="250" x14ac:dyDescent="0.2"/>
    <row r="251" x14ac:dyDescent="0.2"/>
    <row r="252" x14ac:dyDescent="0.2"/>
    <row r="253" x14ac:dyDescent="0.2"/>
    <row r="254" x14ac:dyDescent="0.2"/>
    <row r="255" x14ac:dyDescent="0.2"/>
    <row r="256" x14ac:dyDescent="0.2"/>
    <row r="257" x14ac:dyDescent="0.2"/>
    <row r="258" x14ac:dyDescent="0.2"/>
    <row r="259" x14ac:dyDescent="0.2"/>
    <row r="260" x14ac:dyDescent="0.2"/>
    <row r="261" x14ac:dyDescent="0.2"/>
    <row r="262" x14ac:dyDescent="0.2"/>
    <row r="263" x14ac:dyDescent="0.2"/>
    <row r="264" x14ac:dyDescent="0.2"/>
    <row r="265" x14ac:dyDescent="0.2"/>
    <row r="266" x14ac:dyDescent="0.2"/>
    <row r="267" x14ac:dyDescent="0.2"/>
    <row r="268" x14ac:dyDescent="0.2"/>
    <row r="269" x14ac:dyDescent="0.2"/>
    <row r="270" x14ac:dyDescent="0.2"/>
    <row r="271" x14ac:dyDescent="0.2"/>
    <row r="272" x14ac:dyDescent="0.2"/>
    <row r="273" x14ac:dyDescent="0.2"/>
    <row r="274" x14ac:dyDescent="0.2"/>
    <row r="275" x14ac:dyDescent="0.2"/>
    <row r="276" x14ac:dyDescent="0.2"/>
    <row r="277" x14ac:dyDescent="0.2"/>
    <row r="278" x14ac:dyDescent="0.2"/>
    <row r="279" x14ac:dyDescent="0.2"/>
    <row r="280" x14ac:dyDescent="0.2"/>
    <row r="281" x14ac:dyDescent="0.2"/>
    <row r="282" x14ac:dyDescent="0.2"/>
    <row r="283" x14ac:dyDescent="0.2"/>
    <row r="284" x14ac:dyDescent="0.2"/>
    <row r="285" x14ac:dyDescent="0.2"/>
    <row r="286" x14ac:dyDescent="0.2"/>
    <row r="287" x14ac:dyDescent="0.2"/>
    <row r="288" x14ac:dyDescent="0.2"/>
    <row r="289" x14ac:dyDescent="0.2"/>
    <row r="290" x14ac:dyDescent="0.2"/>
    <row r="291" x14ac:dyDescent="0.2"/>
    <row r="292" x14ac:dyDescent="0.2"/>
    <row r="293" x14ac:dyDescent="0.2"/>
    <row r="294" x14ac:dyDescent="0.2"/>
    <row r="295" x14ac:dyDescent="0.2"/>
    <row r="296" x14ac:dyDescent="0.2"/>
    <row r="297" x14ac:dyDescent="0.2"/>
    <row r="298" x14ac:dyDescent="0.2"/>
    <row r="299" x14ac:dyDescent="0.2"/>
    <row r="300" x14ac:dyDescent="0.2"/>
    <row r="301" x14ac:dyDescent="0.2"/>
    <row r="302" x14ac:dyDescent="0.2"/>
    <row r="303" x14ac:dyDescent="0.2"/>
    <row r="304" x14ac:dyDescent="0.2"/>
    <row r="305" x14ac:dyDescent="0.2"/>
    <row r="306" x14ac:dyDescent="0.2"/>
    <row r="307" x14ac:dyDescent="0.2"/>
    <row r="308" x14ac:dyDescent="0.2"/>
    <row r="309" x14ac:dyDescent="0.2"/>
    <row r="310" x14ac:dyDescent="0.2"/>
    <row r="311" x14ac:dyDescent="0.2"/>
    <row r="312" x14ac:dyDescent="0.2"/>
    <row r="313" x14ac:dyDescent="0.2"/>
    <row r="314" x14ac:dyDescent="0.2"/>
    <row r="315" x14ac:dyDescent="0.2"/>
    <row r="316" x14ac:dyDescent="0.2"/>
    <row r="317" x14ac:dyDescent="0.2"/>
    <row r="318" x14ac:dyDescent="0.2"/>
    <row r="319" x14ac:dyDescent="0.2"/>
    <row r="320" x14ac:dyDescent="0.2"/>
    <row r="321" x14ac:dyDescent="0.2"/>
    <row r="322" x14ac:dyDescent="0.2"/>
    <row r="323" x14ac:dyDescent="0.2"/>
    <row r="324" x14ac:dyDescent="0.2"/>
    <row r="325" x14ac:dyDescent="0.2"/>
    <row r="326" x14ac:dyDescent="0.2"/>
    <row r="327" x14ac:dyDescent="0.2"/>
    <row r="328" x14ac:dyDescent="0.2"/>
    <row r="329" x14ac:dyDescent="0.2"/>
    <row r="330" x14ac:dyDescent="0.2"/>
    <row r="331" x14ac:dyDescent="0.2"/>
    <row r="332" x14ac:dyDescent="0.2"/>
    <row r="333" x14ac:dyDescent="0.2"/>
    <row r="334" x14ac:dyDescent="0.2"/>
    <row r="335" x14ac:dyDescent="0.2"/>
    <row r="336" x14ac:dyDescent="0.2"/>
    <row r="337" x14ac:dyDescent="0.2"/>
    <row r="338" x14ac:dyDescent="0.2"/>
    <row r="339" x14ac:dyDescent="0.2"/>
    <row r="340" x14ac:dyDescent="0.2"/>
    <row r="341" x14ac:dyDescent="0.2"/>
    <row r="342" x14ac:dyDescent="0.2"/>
    <row r="343" x14ac:dyDescent="0.2"/>
    <row r="344" x14ac:dyDescent="0.2"/>
    <row r="345" x14ac:dyDescent="0.2"/>
    <row r="346" x14ac:dyDescent="0.2"/>
    <row r="347" x14ac:dyDescent="0.2"/>
    <row r="348" x14ac:dyDescent="0.2"/>
    <row r="349" x14ac:dyDescent="0.2"/>
    <row r="350" x14ac:dyDescent="0.2"/>
    <row r="351" x14ac:dyDescent="0.2"/>
    <row r="352" x14ac:dyDescent="0.2"/>
    <row r="353" x14ac:dyDescent="0.2"/>
    <row r="354" x14ac:dyDescent="0.2"/>
    <row r="355" x14ac:dyDescent="0.2"/>
    <row r="356" x14ac:dyDescent="0.2"/>
    <row r="357" x14ac:dyDescent="0.2"/>
    <row r="358" x14ac:dyDescent="0.2"/>
    <row r="359" x14ac:dyDescent="0.2"/>
    <row r="360" x14ac:dyDescent="0.2"/>
    <row r="361" x14ac:dyDescent="0.2"/>
    <row r="362" x14ac:dyDescent="0.2"/>
    <row r="363" x14ac:dyDescent="0.2"/>
    <row r="364" x14ac:dyDescent="0.2"/>
    <row r="365" x14ac:dyDescent="0.2"/>
    <row r="366" x14ac:dyDescent="0.2"/>
    <row r="367" x14ac:dyDescent="0.2"/>
    <row r="368" x14ac:dyDescent="0.2"/>
    <row r="369" x14ac:dyDescent="0.2"/>
    <row r="370" x14ac:dyDescent="0.2"/>
    <row r="371" x14ac:dyDescent="0.2"/>
    <row r="372" x14ac:dyDescent="0.2"/>
    <row r="373" x14ac:dyDescent="0.2"/>
    <row r="374" x14ac:dyDescent="0.2"/>
    <row r="375" x14ac:dyDescent="0.2"/>
    <row r="376" x14ac:dyDescent="0.2"/>
    <row r="377" x14ac:dyDescent="0.2"/>
    <row r="378" x14ac:dyDescent="0.2"/>
    <row r="379" x14ac:dyDescent="0.2"/>
    <row r="380" x14ac:dyDescent="0.2"/>
    <row r="381" x14ac:dyDescent="0.2"/>
    <row r="382" x14ac:dyDescent="0.2"/>
    <row r="383" x14ac:dyDescent="0.2"/>
    <row r="384" x14ac:dyDescent="0.2"/>
    <row r="385" x14ac:dyDescent="0.2"/>
    <row r="386" x14ac:dyDescent="0.2"/>
    <row r="387" x14ac:dyDescent="0.2"/>
    <row r="388" x14ac:dyDescent="0.2"/>
    <row r="389" x14ac:dyDescent="0.2"/>
    <row r="390" x14ac:dyDescent="0.2"/>
    <row r="391" x14ac:dyDescent="0.2"/>
    <row r="392" x14ac:dyDescent="0.2"/>
    <row r="393" x14ac:dyDescent="0.2"/>
    <row r="394" x14ac:dyDescent="0.2"/>
    <row r="395" x14ac:dyDescent="0.2"/>
    <row r="396" x14ac:dyDescent="0.2"/>
    <row r="397" x14ac:dyDescent="0.2"/>
    <row r="398" x14ac:dyDescent="0.2"/>
    <row r="399" x14ac:dyDescent="0.2"/>
    <row r="400" x14ac:dyDescent="0.2"/>
    <row r="401" x14ac:dyDescent="0.2"/>
    <row r="402" x14ac:dyDescent="0.2"/>
    <row r="403" x14ac:dyDescent="0.2"/>
    <row r="404" x14ac:dyDescent="0.2"/>
    <row r="405" x14ac:dyDescent="0.2"/>
    <row r="406" x14ac:dyDescent="0.2"/>
    <row r="407" x14ac:dyDescent="0.2"/>
    <row r="408" x14ac:dyDescent="0.2"/>
    <row r="409" x14ac:dyDescent="0.2"/>
    <row r="410" x14ac:dyDescent="0.2"/>
    <row r="411" x14ac:dyDescent="0.2"/>
    <row r="412" x14ac:dyDescent="0.2"/>
    <row r="413" x14ac:dyDescent="0.2"/>
    <row r="414" x14ac:dyDescent="0.2"/>
    <row r="415" x14ac:dyDescent="0.2"/>
    <row r="416" x14ac:dyDescent="0.2"/>
    <row r="417" x14ac:dyDescent="0.2"/>
    <row r="418" x14ac:dyDescent="0.2"/>
    <row r="419" x14ac:dyDescent="0.2"/>
    <row r="420" x14ac:dyDescent="0.2"/>
    <row r="421" x14ac:dyDescent="0.2"/>
    <row r="422" x14ac:dyDescent="0.2"/>
    <row r="423" x14ac:dyDescent="0.2"/>
    <row r="424" x14ac:dyDescent="0.2"/>
    <row r="425" x14ac:dyDescent="0.2"/>
    <row r="426" x14ac:dyDescent="0.2"/>
    <row r="427" x14ac:dyDescent="0.2"/>
    <row r="428" x14ac:dyDescent="0.2"/>
    <row r="429" x14ac:dyDescent="0.2"/>
    <row r="430" x14ac:dyDescent="0.2"/>
    <row r="431" x14ac:dyDescent="0.2"/>
    <row r="432" x14ac:dyDescent="0.2"/>
    <row r="433" x14ac:dyDescent="0.2"/>
    <row r="434" x14ac:dyDescent="0.2"/>
    <row r="435" x14ac:dyDescent="0.2"/>
    <row r="436" x14ac:dyDescent="0.2"/>
    <row r="437" x14ac:dyDescent="0.2"/>
    <row r="438" x14ac:dyDescent="0.2"/>
    <row r="439" x14ac:dyDescent="0.2"/>
    <row r="440" x14ac:dyDescent="0.2"/>
    <row r="441" x14ac:dyDescent="0.2"/>
    <row r="442" x14ac:dyDescent="0.2"/>
    <row r="443" x14ac:dyDescent="0.2"/>
    <row r="444" x14ac:dyDescent="0.2"/>
    <row r="445" x14ac:dyDescent="0.2"/>
    <row r="446" x14ac:dyDescent="0.2"/>
    <row r="447" x14ac:dyDescent="0.2"/>
    <row r="448" x14ac:dyDescent="0.2"/>
    <row r="449" x14ac:dyDescent="0.2"/>
    <row r="450" x14ac:dyDescent="0.2"/>
    <row r="451" x14ac:dyDescent="0.2"/>
    <row r="452" x14ac:dyDescent="0.2"/>
    <row r="453" x14ac:dyDescent="0.2"/>
    <row r="454" x14ac:dyDescent="0.2"/>
    <row r="455" x14ac:dyDescent="0.2"/>
    <row r="456" x14ac:dyDescent="0.2"/>
    <row r="457" x14ac:dyDescent="0.2"/>
    <row r="458" x14ac:dyDescent="0.2"/>
    <row r="459" x14ac:dyDescent="0.2"/>
    <row r="460" x14ac:dyDescent="0.2"/>
    <row r="461" x14ac:dyDescent="0.2"/>
    <row r="462" x14ac:dyDescent="0.2"/>
    <row r="463" x14ac:dyDescent="0.2"/>
    <row r="464" x14ac:dyDescent="0.2"/>
    <row r="465" x14ac:dyDescent="0.2"/>
    <row r="466" x14ac:dyDescent="0.2"/>
    <row r="467" x14ac:dyDescent="0.2"/>
    <row r="468" x14ac:dyDescent="0.2"/>
    <row r="469" x14ac:dyDescent="0.2"/>
    <row r="470" x14ac:dyDescent="0.2"/>
    <row r="471" x14ac:dyDescent="0.2"/>
    <row r="472" x14ac:dyDescent="0.2"/>
    <row r="473" x14ac:dyDescent="0.2"/>
    <row r="474" x14ac:dyDescent="0.2"/>
    <row r="475" x14ac:dyDescent="0.2"/>
    <row r="476" x14ac:dyDescent="0.2"/>
    <row r="477" x14ac:dyDescent="0.2"/>
    <row r="478" x14ac:dyDescent="0.2"/>
    <row r="479" x14ac:dyDescent="0.2"/>
    <row r="480" x14ac:dyDescent="0.2"/>
    <row r="481" x14ac:dyDescent="0.2"/>
    <row r="482" x14ac:dyDescent="0.2"/>
    <row r="483" x14ac:dyDescent="0.2"/>
    <row r="484" x14ac:dyDescent="0.2"/>
    <row r="485" x14ac:dyDescent="0.2"/>
    <row r="486" x14ac:dyDescent="0.2"/>
    <row r="487" x14ac:dyDescent="0.2"/>
    <row r="488" x14ac:dyDescent="0.2"/>
    <row r="489" x14ac:dyDescent="0.2"/>
    <row r="490" x14ac:dyDescent="0.2"/>
    <row r="491" x14ac:dyDescent="0.2"/>
    <row r="492" x14ac:dyDescent="0.2"/>
    <row r="493" x14ac:dyDescent="0.2"/>
    <row r="494" x14ac:dyDescent="0.2"/>
    <row r="495" x14ac:dyDescent="0.2"/>
    <row r="496" x14ac:dyDescent="0.2"/>
    <row r="497" x14ac:dyDescent="0.2"/>
    <row r="498" x14ac:dyDescent="0.2"/>
    <row r="499" x14ac:dyDescent="0.2"/>
    <row r="500" x14ac:dyDescent="0.2"/>
    <row r="501" x14ac:dyDescent="0.2"/>
    <row r="502" x14ac:dyDescent="0.2"/>
    <row r="503" x14ac:dyDescent="0.2"/>
    <row r="504" x14ac:dyDescent="0.2"/>
    <row r="505" x14ac:dyDescent="0.2"/>
    <row r="506" x14ac:dyDescent="0.2"/>
    <row r="507" x14ac:dyDescent="0.2"/>
    <row r="508" x14ac:dyDescent="0.2"/>
    <row r="509" x14ac:dyDescent="0.2"/>
    <row r="510" x14ac:dyDescent="0.2"/>
    <row r="511" x14ac:dyDescent="0.2"/>
    <row r="512" x14ac:dyDescent="0.2"/>
    <row r="513" x14ac:dyDescent="0.2"/>
    <row r="514" x14ac:dyDescent="0.2"/>
    <row r="515" x14ac:dyDescent="0.2"/>
    <row r="516" x14ac:dyDescent="0.2"/>
    <row r="517" x14ac:dyDescent="0.2"/>
    <row r="518" x14ac:dyDescent="0.2"/>
    <row r="519" x14ac:dyDescent="0.2"/>
    <row r="520" x14ac:dyDescent="0.2"/>
    <row r="521" x14ac:dyDescent="0.2"/>
    <row r="522" x14ac:dyDescent="0.2"/>
    <row r="523" x14ac:dyDescent="0.2"/>
    <row r="524" x14ac:dyDescent="0.2"/>
    <row r="525" x14ac:dyDescent="0.2"/>
    <row r="526" x14ac:dyDescent="0.2"/>
    <row r="527" x14ac:dyDescent="0.2"/>
    <row r="528" x14ac:dyDescent="0.2"/>
    <row r="529" x14ac:dyDescent="0.2"/>
    <row r="530" x14ac:dyDescent="0.2"/>
    <row r="531" x14ac:dyDescent="0.2"/>
    <row r="532" x14ac:dyDescent="0.2"/>
    <row r="533" x14ac:dyDescent="0.2"/>
    <row r="534" x14ac:dyDescent="0.2"/>
    <row r="535" x14ac:dyDescent="0.2"/>
    <row r="536" x14ac:dyDescent="0.2"/>
    <row r="537" x14ac:dyDescent="0.2"/>
    <row r="538" x14ac:dyDescent="0.2"/>
    <row r="539" x14ac:dyDescent="0.2"/>
    <row r="540" x14ac:dyDescent="0.2"/>
    <row r="541" x14ac:dyDescent="0.2"/>
    <row r="542" x14ac:dyDescent="0.2"/>
    <row r="543" x14ac:dyDescent="0.2"/>
    <row r="544" x14ac:dyDescent="0.2"/>
    <row r="545" x14ac:dyDescent="0.2"/>
    <row r="546" x14ac:dyDescent="0.2"/>
    <row r="547" x14ac:dyDescent="0.2"/>
    <row r="548" x14ac:dyDescent="0.2"/>
    <row r="549" x14ac:dyDescent="0.2"/>
    <row r="550" x14ac:dyDescent="0.2"/>
    <row r="551" x14ac:dyDescent="0.2"/>
    <row r="552" x14ac:dyDescent="0.2"/>
    <row r="553" x14ac:dyDescent="0.2"/>
    <row r="554" x14ac:dyDescent="0.2"/>
    <row r="555" x14ac:dyDescent="0.2"/>
    <row r="556" x14ac:dyDescent="0.2"/>
    <row r="557" x14ac:dyDescent="0.2"/>
    <row r="558" x14ac:dyDescent="0.2"/>
    <row r="559" x14ac:dyDescent="0.2"/>
    <row r="560" x14ac:dyDescent="0.2"/>
    <row r="561" x14ac:dyDescent="0.2"/>
    <row r="562" x14ac:dyDescent="0.2"/>
    <row r="563" x14ac:dyDescent="0.2"/>
    <row r="564" x14ac:dyDescent="0.2"/>
    <row r="565" x14ac:dyDescent="0.2"/>
    <row r="566" x14ac:dyDescent="0.2"/>
    <row r="567" x14ac:dyDescent="0.2"/>
    <row r="568" x14ac:dyDescent="0.2"/>
    <row r="569" x14ac:dyDescent="0.2"/>
    <row r="570" x14ac:dyDescent="0.2"/>
    <row r="571" x14ac:dyDescent="0.2"/>
    <row r="572" x14ac:dyDescent="0.2"/>
    <row r="573" x14ac:dyDescent="0.2"/>
    <row r="574" x14ac:dyDescent="0.2"/>
    <row r="575" x14ac:dyDescent="0.2"/>
    <row r="576" x14ac:dyDescent="0.2"/>
    <row r="577" x14ac:dyDescent="0.2"/>
    <row r="578" x14ac:dyDescent="0.2"/>
    <row r="579" x14ac:dyDescent="0.2"/>
    <row r="580" x14ac:dyDescent="0.2"/>
    <row r="581" x14ac:dyDescent="0.2"/>
    <row r="582" x14ac:dyDescent="0.2"/>
    <row r="583" x14ac:dyDescent="0.2"/>
    <row r="584" x14ac:dyDescent="0.2"/>
    <row r="585" x14ac:dyDescent="0.2"/>
    <row r="586" x14ac:dyDescent="0.2"/>
    <row r="587" x14ac:dyDescent="0.2"/>
    <row r="588" x14ac:dyDescent="0.2"/>
    <row r="589" x14ac:dyDescent="0.2"/>
    <row r="590" x14ac:dyDescent="0.2"/>
    <row r="591" x14ac:dyDescent="0.2"/>
    <row r="592" x14ac:dyDescent="0.2"/>
    <row r="593" x14ac:dyDescent="0.2"/>
    <row r="594" x14ac:dyDescent="0.2"/>
    <row r="595" x14ac:dyDescent="0.2"/>
    <row r="596" x14ac:dyDescent="0.2"/>
    <row r="597" x14ac:dyDescent="0.2"/>
    <row r="598" x14ac:dyDescent="0.2"/>
    <row r="599" x14ac:dyDescent="0.2"/>
    <row r="600" x14ac:dyDescent="0.2"/>
    <row r="601" x14ac:dyDescent="0.2"/>
    <row r="602" x14ac:dyDescent="0.2"/>
    <row r="603" x14ac:dyDescent="0.2"/>
    <row r="604" x14ac:dyDescent="0.2"/>
    <row r="605" x14ac:dyDescent="0.2"/>
    <row r="606" x14ac:dyDescent="0.2"/>
    <row r="607" x14ac:dyDescent="0.2"/>
    <row r="608" x14ac:dyDescent="0.2"/>
    <row r="609" x14ac:dyDescent="0.2"/>
    <row r="610" x14ac:dyDescent="0.2"/>
    <row r="611" x14ac:dyDescent="0.2"/>
    <row r="612" x14ac:dyDescent="0.2"/>
    <row r="613" x14ac:dyDescent="0.2"/>
    <row r="614" x14ac:dyDescent="0.2"/>
    <row r="615" x14ac:dyDescent="0.2"/>
    <row r="616" x14ac:dyDescent="0.2"/>
    <row r="617" x14ac:dyDescent="0.2"/>
    <row r="618" x14ac:dyDescent="0.2"/>
    <row r="619" x14ac:dyDescent="0.2"/>
    <row r="620" x14ac:dyDescent="0.2"/>
    <row r="621" x14ac:dyDescent="0.2"/>
    <row r="622" x14ac:dyDescent="0.2"/>
    <row r="623" x14ac:dyDescent="0.2"/>
    <row r="624" x14ac:dyDescent="0.2"/>
    <row r="625" x14ac:dyDescent="0.2"/>
    <row r="626" x14ac:dyDescent="0.2"/>
    <row r="627" x14ac:dyDescent="0.2"/>
    <row r="628" x14ac:dyDescent="0.2"/>
    <row r="629" x14ac:dyDescent="0.2"/>
    <row r="630" x14ac:dyDescent="0.2"/>
    <row r="631" x14ac:dyDescent="0.2"/>
    <row r="632" x14ac:dyDescent="0.2"/>
    <row r="633" x14ac:dyDescent="0.2"/>
    <row r="634" x14ac:dyDescent="0.2"/>
    <row r="635" x14ac:dyDescent="0.2"/>
    <row r="636" x14ac:dyDescent="0.2"/>
    <row r="637" x14ac:dyDescent="0.2"/>
    <row r="638" x14ac:dyDescent="0.2"/>
    <row r="639" x14ac:dyDescent="0.2"/>
    <row r="640" x14ac:dyDescent="0.2"/>
    <row r="641" x14ac:dyDescent="0.2"/>
    <row r="642" x14ac:dyDescent="0.2"/>
    <row r="643" x14ac:dyDescent="0.2"/>
    <row r="644" x14ac:dyDescent="0.2"/>
    <row r="645" x14ac:dyDescent="0.2"/>
    <row r="646" x14ac:dyDescent="0.2"/>
    <row r="647" x14ac:dyDescent="0.2"/>
    <row r="648" x14ac:dyDescent="0.2"/>
    <row r="649" x14ac:dyDescent="0.2"/>
    <row r="650" x14ac:dyDescent="0.2"/>
    <row r="651" x14ac:dyDescent="0.2"/>
    <row r="652" x14ac:dyDescent="0.2"/>
    <row r="653" x14ac:dyDescent="0.2"/>
    <row r="654" x14ac:dyDescent="0.2"/>
    <row r="655" x14ac:dyDescent="0.2"/>
    <row r="656" x14ac:dyDescent="0.2"/>
    <row r="657" x14ac:dyDescent="0.2"/>
    <row r="658" x14ac:dyDescent="0.2"/>
    <row r="659" x14ac:dyDescent="0.2"/>
    <row r="660" x14ac:dyDescent="0.2"/>
    <row r="661" x14ac:dyDescent="0.2"/>
    <row r="662" x14ac:dyDescent="0.2"/>
    <row r="663" x14ac:dyDescent="0.2"/>
    <row r="664" x14ac:dyDescent="0.2"/>
    <row r="665" x14ac:dyDescent="0.2"/>
    <row r="666" x14ac:dyDescent="0.2"/>
    <row r="667" x14ac:dyDescent="0.2"/>
    <row r="668" x14ac:dyDescent="0.2"/>
    <row r="669" x14ac:dyDescent="0.2"/>
    <row r="670" x14ac:dyDescent="0.2"/>
    <row r="671" x14ac:dyDescent="0.2"/>
    <row r="672" x14ac:dyDescent="0.2"/>
    <row r="673" x14ac:dyDescent="0.2"/>
    <row r="674" x14ac:dyDescent="0.2"/>
    <row r="675" x14ac:dyDescent="0.2"/>
    <row r="676" x14ac:dyDescent="0.2"/>
    <row r="677" x14ac:dyDescent="0.2"/>
    <row r="678" x14ac:dyDescent="0.2"/>
    <row r="679" x14ac:dyDescent="0.2"/>
    <row r="680" x14ac:dyDescent="0.2"/>
    <row r="681" x14ac:dyDescent="0.2"/>
    <row r="682" x14ac:dyDescent="0.2"/>
    <row r="683" x14ac:dyDescent="0.2"/>
    <row r="684" x14ac:dyDescent="0.2"/>
    <row r="685" x14ac:dyDescent="0.2"/>
    <row r="686" x14ac:dyDescent="0.2"/>
    <row r="687" x14ac:dyDescent="0.2"/>
    <row r="688" x14ac:dyDescent="0.2"/>
    <row r="689" x14ac:dyDescent="0.2"/>
    <row r="690" x14ac:dyDescent="0.2"/>
    <row r="691" x14ac:dyDescent="0.2"/>
    <row r="692" x14ac:dyDescent="0.2"/>
    <row r="693" x14ac:dyDescent="0.2"/>
    <row r="694" x14ac:dyDescent="0.2"/>
    <row r="695" x14ac:dyDescent="0.2"/>
    <row r="696" x14ac:dyDescent="0.2"/>
    <row r="697" x14ac:dyDescent="0.2"/>
    <row r="698" x14ac:dyDescent="0.2"/>
    <row r="699" x14ac:dyDescent="0.2"/>
    <row r="700" x14ac:dyDescent="0.2"/>
    <row r="701" x14ac:dyDescent="0.2"/>
    <row r="702" x14ac:dyDescent="0.2"/>
    <row r="703" x14ac:dyDescent="0.2"/>
    <row r="704" x14ac:dyDescent="0.2"/>
    <row r="705" x14ac:dyDescent="0.2"/>
    <row r="706" x14ac:dyDescent="0.2"/>
    <row r="707" x14ac:dyDescent="0.2"/>
    <row r="708" x14ac:dyDescent="0.2"/>
    <row r="709" x14ac:dyDescent="0.2"/>
    <row r="710" x14ac:dyDescent="0.2"/>
    <row r="711" x14ac:dyDescent="0.2"/>
    <row r="712" x14ac:dyDescent="0.2"/>
    <row r="713" x14ac:dyDescent="0.2"/>
    <row r="714" x14ac:dyDescent="0.2"/>
    <row r="715" x14ac:dyDescent="0.2"/>
    <row r="716" x14ac:dyDescent="0.2"/>
    <row r="717" x14ac:dyDescent="0.2"/>
    <row r="718" x14ac:dyDescent="0.2"/>
    <row r="719" x14ac:dyDescent="0.2"/>
    <row r="720" x14ac:dyDescent="0.2"/>
    <row r="721" x14ac:dyDescent="0.2"/>
    <row r="722" x14ac:dyDescent="0.2"/>
    <row r="723" x14ac:dyDescent="0.2"/>
    <row r="724" x14ac:dyDescent="0.2"/>
    <row r="725" x14ac:dyDescent="0.2"/>
    <row r="726" x14ac:dyDescent="0.2"/>
    <row r="727" x14ac:dyDescent="0.2"/>
    <row r="728" x14ac:dyDescent="0.2"/>
    <row r="729" x14ac:dyDescent="0.2"/>
    <row r="730" x14ac:dyDescent="0.2"/>
    <row r="731" x14ac:dyDescent="0.2"/>
    <row r="732" x14ac:dyDescent="0.2"/>
    <row r="733" x14ac:dyDescent="0.2"/>
    <row r="734" x14ac:dyDescent="0.2"/>
    <row r="735" x14ac:dyDescent="0.2"/>
    <row r="736" x14ac:dyDescent="0.2"/>
    <row r="737" x14ac:dyDescent="0.2"/>
    <row r="738" x14ac:dyDescent="0.2"/>
    <row r="739" x14ac:dyDescent="0.2"/>
    <row r="740" x14ac:dyDescent="0.2"/>
    <row r="741" x14ac:dyDescent="0.2"/>
    <row r="742" x14ac:dyDescent="0.2"/>
    <row r="743" x14ac:dyDescent="0.2"/>
    <row r="744" x14ac:dyDescent="0.2"/>
    <row r="745" x14ac:dyDescent="0.2"/>
    <row r="746" x14ac:dyDescent="0.2"/>
    <row r="747" x14ac:dyDescent="0.2"/>
    <row r="748" x14ac:dyDescent="0.2"/>
    <row r="749" x14ac:dyDescent="0.2"/>
    <row r="750" x14ac:dyDescent="0.2"/>
    <row r="751" x14ac:dyDescent="0.2"/>
    <row r="752" x14ac:dyDescent="0.2"/>
    <row r="753" x14ac:dyDescent="0.2"/>
    <row r="754" x14ac:dyDescent="0.2"/>
    <row r="755" x14ac:dyDescent="0.2"/>
    <row r="756" x14ac:dyDescent="0.2"/>
    <row r="757" x14ac:dyDescent="0.2"/>
    <row r="758" x14ac:dyDescent="0.2"/>
    <row r="759" x14ac:dyDescent="0.2"/>
    <row r="760" x14ac:dyDescent="0.2"/>
    <row r="761" x14ac:dyDescent="0.2"/>
    <row r="762" x14ac:dyDescent="0.2"/>
    <row r="763" x14ac:dyDescent="0.2"/>
    <row r="764" x14ac:dyDescent="0.2"/>
    <row r="765" x14ac:dyDescent="0.2"/>
    <row r="766" x14ac:dyDescent="0.2"/>
    <row r="767" x14ac:dyDescent="0.2"/>
    <row r="768" x14ac:dyDescent="0.2"/>
    <row r="769" x14ac:dyDescent="0.2"/>
    <row r="770" x14ac:dyDescent="0.2"/>
    <row r="771" x14ac:dyDescent="0.2"/>
    <row r="772" x14ac:dyDescent="0.2"/>
    <row r="773" x14ac:dyDescent="0.2"/>
    <row r="774" x14ac:dyDescent="0.2"/>
    <row r="775" x14ac:dyDescent="0.2"/>
    <row r="776" x14ac:dyDescent="0.2"/>
    <row r="777" x14ac:dyDescent="0.2"/>
    <row r="778" x14ac:dyDescent="0.2"/>
    <row r="779" x14ac:dyDescent="0.2"/>
    <row r="780" x14ac:dyDescent="0.2"/>
    <row r="781" x14ac:dyDescent="0.2"/>
    <row r="782" x14ac:dyDescent="0.2"/>
    <row r="783" x14ac:dyDescent="0.2"/>
    <row r="784" x14ac:dyDescent="0.2"/>
    <row r="785" x14ac:dyDescent="0.2"/>
    <row r="786" x14ac:dyDescent="0.2"/>
    <row r="787" x14ac:dyDescent="0.2"/>
    <row r="788" x14ac:dyDescent="0.2"/>
    <row r="789" x14ac:dyDescent="0.2"/>
    <row r="790" x14ac:dyDescent="0.2"/>
    <row r="791" x14ac:dyDescent="0.2"/>
    <row r="792" x14ac:dyDescent="0.2"/>
    <row r="793" x14ac:dyDescent="0.2"/>
    <row r="794" x14ac:dyDescent="0.2"/>
    <row r="795" x14ac:dyDescent="0.2"/>
    <row r="796" x14ac:dyDescent="0.2"/>
    <row r="797" x14ac:dyDescent="0.2"/>
    <row r="798" x14ac:dyDescent="0.2"/>
    <row r="799" x14ac:dyDescent="0.2"/>
    <row r="800" x14ac:dyDescent="0.2"/>
    <row r="801" x14ac:dyDescent="0.2"/>
    <row r="802" x14ac:dyDescent="0.2"/>
    <row r="803" x14ac:dyDescent="0.2"/>
    <row r="804" x14ac:dyDescent="0.2"/>
    <row r="805" x14ac:dyDescent="0.2"/>
    <row r="806" x14ac:dyDescent="0.2"/>
    <row r="807" x14ac:dyDescent="0.2"/>
    <row r="808" x14ac:dyDescent="0.2"/>
    <row r="809" x14ac:dyDescent="0.2"/>
    <row r="810" x14ac:dyDescent="0.2"/>
    <row r="811" x14ac:dyDescent="0.2"/>
    <row r="812" x14ac:dyDescent="0.2"/>
    <row r="813" x14ac:dyDescent="0.2"/>
    <row r="814" x14ac:dyDescent="0.2"/>
    <row r="815" x14ac:dyDescent="0.2"/>
    <row r="816" x14ac:dyDescent="0.2"/>
    <row r="817" x14ac:dyDescent="0.2"/>
    <row r="818" x14ac:dyDescent="0.2"/>
    <row r="819" x14ac:dyDescent="0.2"/>
    <row r="820" x14ac:dyDescent="0.2"/>
    <row r="821" x14ac:dyDescent="0.2"/>
    <row r="822" x14ac:dyDescent="0.2"/>
    <row r="823" x14ac:dyDescent="0.2"/>
    <row r="824" x14ac:dyDescent="0.2"/>
    <row r="825" x14ac:dyDescent="0.2"/>
    <row r="826" x14ac:dyDescent="0.2"/>
    <row r="827" x14ac:dyDescent="0.2"/>
    <row r="828" x14ac:dyDescent="0.2"/>
    <row r="829" x14ac:dyDescent="0.2"/>
    <row r="830" x14ac:dyDescent="0.2"/>
    <row r="831" x14ac:dyDescent="0.2"/>
    <row r="832" x14ac:dyDescent="0.2"/>
    <row r="833" x14ac:dyDescent="0.2"/>
    <row r="834" x14ac:dyDescent="0.2"/>
    <row r="835" x14ac:dyDescent="0.2"/>
    <row r="836" x14ac:dyDescent="0.2"/>
    <row r="837" x14ac:dyDescent="0.2"/>
    <row r="838" x14ac:dyDescent="0.2"/>
    <row r="839" x14ac:dyDescent="0.2"/>
    <row r="840" x14ac:dyDescent="0.2"/>
    <row r="841" x14ac:dyDescent="0.2"/>
    <row r="842" x14ac:dyDescent="0.2"/>
    <row r="843" x14ac:dyDescent="0.2"/>
    <row r="844" x14ac:dyDescent="0.2"/>
    <row r="845" x14ac:dyDescent="0.2"/>
    <row r="846" x14ac:dyDescent="0.2"/>
    <row r="847" x14ac:dyDescent="0.2"/>
    <row r="848" x14ac:dyDescent="0.2"/>
    <row r="849" x14ac:dyDescent="0.2"/>
    <row r="850" x14ac:dyDescent="0.2"/>
    <row r="851" x14ac:dyDescent="0.2"/>
    <row r="852" x14ac:dyDescent="0.2"/>
    <row r="853" x14ac:dyDescent="0.2"/>
    <row r="854" x14ac:dyDescent="0.2"/>
    <row r="855" x14ac:dyDescent="0.2"/>
    <row r="856" x14ac:dyDescent="0.2"/>
    <row r="857" x14ac:dyDescent="0.2"/>
    <row r="858" x14ac:dyDescent="0.2"/>
    <row r="859" x14ac:dyDescent="0.2"/>
    <row r="860" x14ac:dyDescent="0.2"/>
    <row r="861" x14ac:dyDescent="0.2"/>
    <row r="862" x14ac:dyDescent="0.2"/>
    <row r="863" x14ac:dyDescent="0.2"/>
    <row r="864" x14ac:dyDescent="0.2"/>
    <row r="865" x14ac:dyDescent="0.2"/>
    <row r="866" x14ac:dyDescent="0.2"/>
    <row r="867" x14ac:dyDescent="0.2"/>
    <row r="868" x14ac:dyDescent="0.2"/>
    <row r="869" x14ac:dyDescent="0.2"/>
    <row r="870" x14ac:dyDescent="0.2"/>
    <row r="871" x14ac:dyDescent="0.2"/>
    <row r="872" x14ac:dyDescent="0.2"/>
    <row r="873" x14ac:dyDescent="0.2"/>
    <row r="874" x14ac:dyDescent="0.2"/>
    <row r="875" x14ac:dyDescent="0.2"/>
    <row r="876" x14ac:dyDescent="0.2"/>
    <row r="877" x14ac:dyDescent="0.2"/>
    <row r="878" x14ac:dyDescent="0.2"/>
    <row r="879" x14ac:dyDescent="0.2"/>
    <row r="880" x14ac:dyDescent="0.2"/>
    <row r="881" x14ac:dyDescent="0.2"/>
    <row r="882" x14ac:dyDescent="0.2"/>
    <row r="883" x14ac:dyDescent="0.2"/>
    <row r="884" x14ac:dyDescent="0.2"/>
    <row r="885" x14ac:dyDescent="0.2"/>
    <row r="886" x14ac:dyDescent="0.2"/>
    <row r="887" x14ac:dyDescent="0.2"/>
    <row r="888" x14ac:dyDescent="0.2"/>
    <row r="889" x14ac:dyDescent="0.2"/>
    <row r="890" x14ac:dyDescent="0.2"/>
    <row r="891" x14ac:dyDescent="0.2"/>
    <row r="892" x14ac:dyDescent="0.2"/>
    <row r="893" x14ac:dyDescent="0.2"/>
    <row r="894" x14ac:dyDescent="0.2"/>
    <row r="895" x14ac:dyDescent="0.2"/>
    <row r="896" x14ac:dyDescent="0.2"/>
    <row r="897" x14ac:dyDescent="0.2"/>
    <row r="898" x14ac:dyDescent="0.2"/>
    <row r="899" x14ac:dyDescent="0.2"/>
    <row r="900" x14ac:dyDescent="0.2"/>
    <row r="901" x14ac:dyDescent="0.2"/>
    <row r="902" x14ac:dyDescent="0.2"/>
    <row r="903" x14ac:dyDescent="0.2"/>
    <row r="904" x14ac:dyDescent="0.2"/>
    <row r="905" x14ac:dyDescent="0.2"/>
    <row r="906" x14ac:dyDescent="0.2"/>
    <row r="907" x14ac:dyDescent="0.2"/>
    <row r="908" x14ac:dyDescent="0.2"/>
    <row r="909" x14ac:dyDescent="0.2"/>
    <row r="910" x14ac:dyDescent="0.2"/>
    <row r="911" x14ac:dyDescent="0.2"/>
    <row r="912" x14ac:dyDescent="0.2"/>
    <row r="913" x14ac:dyDescent="0.2"/>
    <row r="914" x14ac:dyDescent="0.2"/>
    <row r="915" x14ac:dyDescent="0.2"/>
    <row r="916" x14ac:dyDescent="0.2"/>
    <row r="917" x14ac:dyDescent="0.2"/>
    <row r="918" x14ac:dyDescent="0.2"/>
    <row r="919" x14ac:dyDescent="0.2"/>
    <row r="920" x14ac:dyDescent="0.2"/>
    <row r="921" x14ac:dyDescent="0.2"/>
    <row r="922" x14ac:dyDescent="0.2"/>
    <row r="923" x14ac:dyDescent="0.2"/>
    <row r="924" x14ac:dyDescent="0.2"/>
    <row r="925" x14ac:dyDescent="0.2"/>
    <row r="926" x14ac:dyDescent="0.2"/>
    <row r="927" x14ac:dyDescent="0.2"/>
    <row r="928" x14ac:dyDescent="0.2"/>
    <row r="929" x14ac:dyDescent="0.2"/>
    <row r="930" x14ac:dyDescent="0.2"/>
    <row r="931" x14ac:dyDescent="0.2"/>
    <row r="932" x14ac:dyDescent="0.2"/>
    <row r="933" x14ac:dyDescent="0.2"/>
    <row r="934" x14ac:dyDescent="0.2"/>
    <row r="935" x14ac:dyDescent="0.2"/>
    <row r="936" x14ac:dyDescent="0.2"/>
    <row r="937" x14ac:dyDescent="0.2"/>
    <row r="938" x14ac:dyDescent="0.2"/>
    <row r="939" x14ac:dyDescent="0.2"/>
    <row r="940" x14ac:dyDescent="0.2"/>
    <row r="941" x14ac:dyDescent="0.2"/>
    <row r="942" x14ac:dyDescent="0.2"/>
    <row r="943" x14ac:dyDescent="0.2"/>
    <row r="944" x14ac:dyDescent="0.2"/>
    <row r="945" x14ac:dyDescent="0.2"/>
    <row r="946" x14ac:dyDescent="0.2"/>
    <row r="947" x14ac:dyDescent="0.2"/>
    <row r="948" x14ac:dyDescent="0.2"/>
    <row r="949" x14ac:dyDescent="0.2"/>
    <row r="950" x14ac:dyDescent="0.2"/>
    <row r="951" x14ac:dyDescent="0.2"/>
    <row r="952" x14ac:dyDescent="0.2"/>
    <row r="953" x14ac:dyDescent="0.2"/>
    <row r="954" x14ac:dyDescent="0.2"/>
    <row r="955" x14ac:dyDescent="0.2"/>
    <row r="956" x14ac:dyDescent="0.2"/>
    <row r="957" x14ac:dyDescent="0.2"/>
    <row r="958" x14ac:dyDescent="0.2"/>
    <row r="959" x14ac:dyDescent="0.2"/>
    <row r="960" x14ac:dyDescent="0.2"/>
    <row r="961" x14ac:dyDescent="0.2"/>
    <row r="962" x14ac:dyDescent="0.2"/>
    <row r="963" x14ac:dyDescent="0.2"/>
    <row r="964" x14ac:dyDescent="0.2"/>
    <row r="965" x14ac:dyDescent="0.2"/>
    <row r="966" x14ac:dyDescent="0.2"/>
    <row r="967" x14ac:dyDescent="0.2"/>
    <row r="968" x14ac:dyDescent="0.2"/>
    <row r="969" x14ac:dyDescent="0.2"/>
    <row r="970" x14ac:dyDescent="0.2"/>
    <row r="971" x14ac:dyDescent="0.2"/>
    <row r="972" x14ac:dyDescent="0.2"/>
    <row r="973" x14ac:dyDescent="0.2"/>
    <row r="974" x14ac:dyDescent="0.2"/>
    <row r="975" x14ac:dyDescent="0.2"/>
    <row r="976" x14ac:dyDescent="0.2"/>
    <row r="977" x14ac:dyDescent="0.2"/>
    <row r="978" x14ac:dyDescent="0.2"/>
    <row r="979" x14ac:dyDescent="0.2"/>
    <row r="980" x14ac:dyDescent="0.2"/>
    <row r="981" x14ac:dyDescent="0.2"/>
    <row r="982" x14ac:dyDescent="0.2"/>
    <row r="983" x14ac:dyDescent="0.2"/>
    <row r="984" x14ac:dyDescent="0.2"/>
    <row r="985" x14ac:dyDescent="0.2"/>
    <row r="986" x14ac:dyDescent="0.2"/>
    <row r="987" x14ac:dyDescent="0.2"/>
    <row r="988" x14ac:dyDescent="0.2"/>
    <row r="989" x14ac:dyDescent="0.2"/>
    <row r="990" x14ac:dyDescent="0.2"/>
    <row r="991" x14ac:dyDescent="0.2"/>
    <row r="992" x14ac:dyDescent="0.2"/>
    <row r="993" x14ac:dyDescent="0.2"/>
    <row r="994" x14ac:dyDescent="0.2"/>
    <row r="995" x14ac:dyDescent="0.2"/>
    <row r="996" x14ac:dyDescent="0.2"/>
    <row r="997" x14ac:dyDescent="0.2"/>
    <row r="998" x14ac:dyDescent="0.2"/>
    <row r="999" x14ac:dyDescent="0.2"/>
    <row r="1000" x14ac:dyDescent="0.2"/>
  </sheetData>
  <sheetProtection algorithmName="SHA-512" hashValue="bF5oqHSnphJbEvlzITtrT7/dBRVxss6m1mWTe3100HqFb0BwZYEFt68vUBU3B/yd2Yq85Tm8iA0cVwj9XhNKOQ==" saltValue="bYCYen9o3bgOeLhLwGTViw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43C6E-843E-4017-B6F4-56C1CC03BCB6}">
  <sheetPr codeName="Planilha2">
    <tabColor rgb="FF7030A0"/>
  </sheetPr>
  <dimension ref="A1:AI500"/>
  <sheetViews>
    <sheetView showGridLines="0" showRowColHeaders="0" workbookViewId="0">
      <selection activeCell="B19" sqref="B19"/>
    </sheetView>
  </sheetViews>
  <sheetFormatPr baseColWidth="10" defaultColWidth="0" defaultRowHeight="15.5" customHeight="1" zeroHeight="1" x14ac:dyDescent="0.2"/>
  <cols>
    <col min="1" max="2" width="11.83203125" style="2" customWidth="1"/>
    <col min="3" max="3" width="20.33203125" style="2" customWidth="1"/>
    <col min="4" max="4" width="0.5" style="2" customWidth="1"/>
    <col min="5" max="5" width="2.83203125" style="2" customWidth="1"/>
    <col min="6" max="6" width="24.1640625" style="2" customWidth="1"/>
    <col min="7" max="7" width="0" style="2" hidden="1"/>
    <col min="8" max="8" width="21.83203125" style="2" customWidth="1"/>
    <col min="9" max="9" width="29.83203125" style="2" customWidth="1"/>
    <col min="10" max="11" width="11.83203125" style="2" hidden="1" customWidth="1"/>
    <col min="12" max="16" width="10.83203125" style="2" hidden="1" customWidth="1"/>
    <col min="17" max="17" width="10.83203125" style="2" customWidth="1"/>
    <col min="18" max="18" width="11.83203125" style="2" customWidth="1"/>
    <col min="19" max="19" width="33.33203125" style="2" customWidth="1"/>
    <col min="20" max="20" width="11.83203125" style="2" customWidth="1"/>
    <col min="21" max="21" width="6.83203125" style="2" customWidth="1"/>
    <col min="22" max="22" width="11.83203125" style="2" customWidth="1"/>
    <col min="23" max="23" width="7.1640625" style="2" hidden="1" customWidth="1"/>
    <col min="24" max="35" width="11.83203125" style="2" customWidth="1"/>
    <col min="36" max="16384" width="11.83203125" style="2" hidden="1"/>
  </cols>
  <sheetData>
    <row r="1" spans="1:23" ht="15" x14ac:dyDescent="0.2"/>
    <row r="2" spans="1:23" ht="15" x14ac:dyDescent="0.2"/>
    <row r="3" spans="1:23" ht="15" x14ac:dyDescent="0.2"/>
    <row r="4" spans="1:23" ht="16" x14ac:dyDescent="0.2">
      <c r="B4" s="123" t="s">
        <v>0</v>
      </c>
      <c r="C4" s="11" t="s">
        <v>183</v>
      </c>
      <c r="G4" s="174"/>
    </row>
    <row r="5" spans="1:23" ht="16" x14ac:dyDescent="0.2">
      <c r="D5" s="6"/>
      <c r="G5" s="174"/>
      <c r="H5" s="174"/>
    </row>
    <row r="6" spans="1:23" ht="16" x14ac:dyDescent="0.2">
      <c r="B6" s="123" t="s">
        <v>1</v>
      </c>
      <c r="D6" s="2" t="s">
        <v>2</v>
      </c>
      <c r="E6" s="8"/>
      <c r="F6" s="123" t="s">
        <v>3</v>
      </c>
      <c r="I6" s="123" t="s">
        <v>4</v>
      </c>
      <c r="O6" s="126" t="b">
        <v>1</v>
      </c>
      <c r="P6" s="126" t="b">
        <v>1</v>
      </c>
      <c r="Q6" s="126"/>
      <c r="S6" s="123" t="s">
        <v>5</v>
      </c>
      <c r="T6" s="175" t="s">
        <v>6</v>
      </c>
      <c r="V6" s="13" t="s">
        <v>167</v>
      </c>
      <c r="W6" s="1" t="b">
        <v>1</v>
      </c>
    </row>
    <row r="7" spans="1:23" ht="16" x14ac:dyDescent="0.2">
      <c r="A7" s="8"/>
      <c r="B7" s="11" t="s">
        <v>7</v>
      </c>
      <c r="C7" s="6"/>
      <c r="D7" s="2">
        <f>IF(COUNTIF(B7:B16,"*")=10,0,IF(COUNTIF(B7:B16,"*")=9,10,IF(COUNTIF(B7:B16,"*")=8,20,IF(COUNTIF(B7:B16,"*")=7,30,IF(COUNTIF(B7:B16,"*")=6,40,IF(COUNTIF(B7:B16,"*")=5,50,IF(COUNTIF(B7:B16,"*")=4,60,IF(COUNTIF(B7:B16,"*")=3,70,IF(COUNTIF(B7:B16,"*")=2,80,IF(COUNTIF(B7:B16,"*")=1,90,IF(COUNTIF(B7:B16,"*")=0,100)))))))))))</f>
        <v>0</v>
      </c>
      <c r="E7" s="9">
        <v>1</v>
      </c>
      <c r="F7" s="11" t="s">
        <v>8</v>
      </c>
      <c r="G7" s="125" t="s">
        <v>9</v>
      </c>
      <c r="H7" s="9">
        <v>1</v>
      </c>
      <c r="I7" s="11" t="s">
        <v>10</v>
      </c>
      <c r="J7" s="125" t="s">
        <v>11</v>
      </c>
      <c r="K7" s="6"/>
      <c r="N7" s="6"/>
      <c r="O7" s="6"/>
      <c r="R7" s="9">
        <v>1</v>
      </c>
      <c r="S7" s="11" t="s">
        <v>12</v>
      </c>
      <c r="W7" s="1" t="b">
        <v>1</v>
      </c>
    </row>
    <row r="8" spans="1:23" ht="16" x14ac:dyDescent="0.2">
      <c r="A8" s="8"/>
      <c r="B8" s="11" t="s">
        <v>166</v>
      </c>
      <c r="E8" s="9">
        <v>2</v>
      </c>
      <c r="F8" s="11" t="s">
        <v>13</v>
      </c>
      <c r="G8" s="125" t="s">
        <v>14</v>
      </c>
      <c r="H8" s="9">
        <v>2</v>
      </c>
      <c r="I8" s="11" t="s">
        <v>15</v>
      </c>
      <c r="J8" s="125" t="s">
        <v>16</v>
      </c>
      <c r="K8" s="6"/>
      <c r="N8" s="6"/>
      <c r="O8" s="6"/>
      <c r="R8" s="9">
        <v>2</v>
      </c>
      <c r="S8" s="11" t="s">
        <v>17</v>
      </c>
      <c r="T8" s="177"/>
      <c r="W8" s="1" t="b">
        <v>1</v>
      </c>
    </row>
    <row r="9" spans="1:23" ht="16" x14ac:dyDescent="0.2">
      <c r="A9" s="8"/>
      <c r="B9" s="11" t="s">
        <v>18</v>
      </c>
      <c r="E9" s="9">
        <v>3</v>
      </c>
      <c r="F9" s="11" t="s">
        <v>19</v>
      </c>
      <c r="G9" s="125" t="s">
        <v>20</v>
      </c>
      <c r="H9" s="9">
        <v>3</v>
      </c>
      <c r="I9" s="11" t="s">
        <v>21</v>
      </c>
      <c r="J9" s="125" t="s">
        <v>22</v>
      </c>
      <c r="K9" s="6"/>
      <c r="N9" s="6"/>
      <c r="O9" s="6"/>
      <c r="R9" s="9">
        <v>3</v>
      </c>
      <c r="S9" s="11" t="s">
        <v>174</v>
      </c>
    </row>
    <row r="10" spans="1:23" ht="16" x14ac:dyDescent="0.2">
      <c r="A10" s="8"/>
      <c r="B10" s="11" t="s">
        <v>23</v>
      </c>
      <c r="E10" s="9">
        <v>4</v>
      </c>
      <c r="F10" s="11" t="s">
        <v>24</v>
      </c>
      <c r="G10" s="125" t="s">
        <v>25</v>
      </c>
      <c r="H10" s="9">
        <v>4</v>
      </c>
      <c r="I10" s="11" t="s">
        <v>26</v>
      </c>
      <c r="J10" s="125" t="s">
        <v>27</v>
      </c>
      <c r="K10" s="6"/>
      <c r="N10" s="6"/>
      <c r="O10" s="6"/>
      <c r="R10" s="9">
        <v>4</v>
      </c>
      <c r="S10" s="11" t="s">
        <v>175</v>
      </c>
    </row>
    <row r="11" spans="1:23" ht="16" x14ac:dyDescent="0.2">
      <c r="A11" s="8"/>
      <c r="B11" s="11" t="s">
        <v>168</v>
      </c>
      <c r="E11" s="9">
        <v>5</v>
      </c>
      <c r="F11" s="12" t="s">
        <v>28</v>
      </c>
      <c r="G11" s="125" t="s">
        <v>29</v>
      </c>
      <c r="H11" s="9">
        <v>5</v>
      </c>
      <c r="I11" s="11" t="s">
        <v>30</v>
      </c>
      <c r="J11" s="125" t="s">
        <v>31</v>
      </c>
      <c r="K11" s="6"/>
      <c r="N11" s="6"/>
      <c r="O11" s="6"/>
      <c r="R11" s="9">
        <v>5</v>
      </c>
      <c r="S11" s="11" t="s">
        <v>176</v>
      </c>
    </row>
    <row r="12" spans="1:23" ht="16" x14ac:dyDescent="0.2">
      <c r="A12" s="8"/>
      <c r="B12" s="11" t="s">
        <v>36</v>
      </c>
      <c r="E12" s="8"/>
      <c r="F12" s="125"/>
      <c r="G12" s="125"/>
      <c r="H12" s="9">
        <v>6</v>
      </c>
      <c r="I12" s="11" t="s">
        <v>32</v>
      </c>
      <c r="J12" s="125" t="s">
        <v>33</v>
      </c>
      <c r="K12" s="6"/>
      <c r="N12" s="6"/>
      <c r="O12" s="6"/>
      <c r="R12" s="9">
        <v>6</v>
      </c>
      <c r="S12" s="11" t="s">
        <v>177</v>
      </c>
    </row>
    <row r="13" spans="1:23" ht="16" x14ac:dyDescent="0.2">
      <c r="A13" s="8"/>
      <c r="B13" s="11" t="s">
        <v>38</v>
      </c>
      <c r="E13" s="8"/>
      <c r="F13" s="125"/>
      <c r="H13" s="9">
        <v>7</v>
      </c>
      <c r="I13" s="11" t="s">
        <v>34</v>
      </c>
      <c r="J13" s="125" t="s">
        <v>35</v>
      </c>
      <c r="K13" s="6"/>
      <c r="N13" s="6"/>
      <c r="O13" s="6"/>
      <c r="R13" s="9">
        <v>7</v>
      </c>
      <c r="S13" s="11" t="s">
        <v>178</v>
      </c>
    </row>
    <row r="14" spans="1:23" ht="16" x14ac:dyDescent="0.2">
      <c r="A14" s="8"/>
      <c r="B14" s="11" t="s">
        <v>169</v>
      </c>
      <c r="E14" s="8"/>
      <c r="F14" s="125"/>
      <c r="H14" s="9">
        <v>8</v>
      </c>
      <c r="I14" s="11" t="s">
        <v>180</v>
      </c>
      <c r="J14" s="125" t="s">
        <v>37</v>
      </c>
      <c r="K14" s="6"/>
      <c r="N14" s="6"/>
      <c r="O14" s="6"/>
      <c r="R14" s="9">
        <v>8</v>
      </c>
      <c r="S14" s="11" t="s">
        <v>179</v>
      </c>
    </row>
    <row r="15" spans="1:23" ht="16" x14ac:dyDescent="0.2">
      <c r="A15" s="8"/>
      <c r="B15" s="11" t="s">
        <v>170</v>
      </c>
      <c r="E15" s="8"/>
      <c r="F15" s="125"/>
      <c r="H15" s="9">
        <v>9</v>
      </c>
      <c r="I15" s="11" t="s">
        <v>181</v>
      </c>
      <c r="J15" s="125" t="s">
        <v>39</v>
      </c>
      <c r="K15" s="6"/>
      <c r="N15" s="6"/>
      <c r="O15" s="6"/>
      <c r="R15" s="9">
        <v>9</v>
      </c>
      <c r="S15" s="11"/>
    </row>
    <row r="16" spans="1:23" ht="16" x14ac:dyDescent="0.2">
      <c r="A16" s="8"/>
      <c r="B16" s="11" t="s">
        <v>171</v>
      </c>
      <c r="E16" s="8"/>
      <c r="F16" s="125"/>
      <c r="H16" s="9">
        <v>10</v>
      </c>
      <c r="I16" s="12" t="s">
        <v>184</v>
      </c>
      <c r="J16" s="125" t="s">
        <v>40</v>
      </c>
      <c r="K16" s="6"/>
      <c r="N16" s="6"/>
      <c r="O16" s="6"/>
      <c r="R16" s="9">
        <v>10</v>
      </c>
      <c r="S16" s="11"/>
    </row>
    <row r="17" spans="1:20" ht="16" x14ac:dyDescent="0.2">
      <c r="A17" s="10">
        <v>11</v>
      </c>
      <c r="B17" s="11" t="s">
        <v>172</v>
      </c>
      <c r="K17" s="6"/>
      <c r="N17" s="6"/>
      <c r="O17" s="6"/>
      <c r="R17" s="9">
        <v>11</v>
      </c>
      <c r="S17" s="11"/>
    </row>
    <row r="18" spans="1:20" ht="16" x14ac:dyDescent="0.2">
      <c r="A18" s="10">
        <v>12</v>
      </c>
      <c r="B18" s="11" t="s">
        <v>173</v>
      </c>
      <c r="K18" s="6"/>
      <c r="N18" s="6"/>
      <c r="O18" s="6"/>
      <c r="R18" s="9">
        <v>12</v>
      </c>
      <c r="S18" s="11"/>
    </row>
    <row r="19" spans="1:20" ht="16" x14ac:dyDescent="0.2">
      <c r="A19" s="10">
        <v>13</v>
      </c>
      <c r="B19" s="11"/>
      <c r="K19" s="6"/>
      <c r="N19" s="6"/>
      <c r="O19" s="6"/>
      <c r="R19" s="9">
        <v>13</v>
      </c>
      <c r="S19" s="11"/>
    </row>
    <row r="20" spans="1:20" ht="16" x14ac:dyDescent="0.2">
      <c r="A20" s="9">
        <v>14</v>
      </c>
      <c r="B20" s="11"/>
      <c r="K20" s="6"/>
      <c r="N20" s="6"/>
      <c r="O20" s="6"/>
      <c r="R20" s="9">
        <v>14</v>
      </c>
      <c r="S20" s="11"/>
    </row>
    <row r="21" spans="1:20" ht="16" x14ac:dyDescent="0.2">
      <c r="A21" s="10">
        <v>15</v>
      </c>
      <c r="B21" s="11"/>
      <c r="K21" s="6"/>
      <c r="N21" s="6"/>
      <c r="O21" s="6"/>
      <c r="R21" s="9">
        <v>15</v>
      </c>
      <c r="S21" s="11"/>
    </row>
    <row r="22" spans="1:20" ht="16" x14ac:dyDescent="0.2">
      <c r="A22" s="10">
        <v>16</v>
      </c>
      <c r="B22" s="11"/>
      <c r="K22" s="6"/>
      <c r="N22" s="6"/>
      <c r="O22" s="6"/>
      <c r="R22" s="9">
        <v>16</v>
      </c>
      <c r="S22" s="11"/>
    </row>
    <row r="23" spans="1:20" ht="16" x14ac:dyDescent="0.2">
      <c r="A23" s="10">
        <v>17</v>
      </c>
      <c r="B23" s="11"/>
      <c r="K23" s="6"/>
      <c r="N23" s="6"/>
      <c r="O23" s="6"/>
      <c r="R23" s="9">
        <v>17</v>
      </c>
      <c r="S23" s="12"/>
    </row>
    <row r="24" spans="1:20" ht="16" x14ac:dyDescent="0.2">
      <c r="A24" s="9">
        <v>18</v>
      </c>
      <c r="B24" s="11"/>
      <c r="K24" s="6"/>
      <c r="N24" s="6"/>
      <c r="O24" s="6"/>
      <c r="R24" s="9"/>
      <c r="S24" s="124"/>
    </row>
    <row r="25" spans="1:20" ht="16" x14ac:dyDescent="0.2">
      <c r="A25" s="10">
        <v>19</v>
      </c>
      <c r="B25" s="11"/>
      <c r="K25" s="6"/>
      <c r="N25" s="6"/>
      <c r="O25" s="6"/>
      <c r="R25" s="9"/>
      <c r="S25" s="124"/>
    </row>
    <row r="26" spans="1:20" ht="16" x14ac:dyDescent="0.2">
      <c r="A26" s="10">
        <v>20</v>
      </c>
      <c r="B26" s="11"/>
      <c r="K26" s="6"/>
      <c r="N26" s="6"/>
      <c r="O26" s="6"/>
      <c r="R26" s="9"/>
      <c r="T26" s="6"/>
    </row>
    <row r="27" spans="1:20" ht="16" x14ac:dyDescent="0.2">
      <c r="A27" s="10">
        <v>21</v>
      </c>
      <c r="B27" s="11"/>
      <c r="K27" s="6"/>
      <c r="L27" s="6"/>
      <c r="M27" s="6"/>
      <c r="N27" s="6"/>
      <c r="O27" s="6"/>
    </row>
    <row r="28" spans="1:20" ht="16" x14ac:dyDescent="0.2">
      <c r="A28" s="9">
        <v>22</v>
      </c>
      <c r="B28" s="11"/>
      <c r="K28" s="6"/>
      <c r="L28" s="6"/>
      <c r="M28" s="6"/>
      <c r="N28" s="6"/>
      <c r="O28" s="6"/>
    </row>
    <row r="29" spans="1:20" ht="16" x14ac:dyDescent="0.2">
      <c r="A29" s="10">
        <v>23</v>
      </c>
      <c r="B29" s="11"/>
      <c r="K29" s="6"/>
      <c r="L29" s="6"/>
      <c r="M29" s="6"/>
      <c r="N29" s="6"/>
      <c r="O29" s="6"/>
    </row>
    <row r="30" spans="1:20" ht="16" x14ac:dyDescent="0.2">
      <c r="A30" s="10">
        <v>24</v>
      </c>
      <c r="B30" s="11"/>
      <c r="K30" s="6"/>
      <c r="L30" s="6"/>
      <c r="M30" s="6"/>
      <c r="N30" s="6"/>
      <c r="O30" s="6"/>
    </row>
    <row r="31" spans="1:20" ht="16" x14ac:dyDescent="0.2">
      <c r="A31" s="10">
        <v>25</v>
      </c>
      <c r="B31" s="11"/>
      <c r="G31" s="1"/>
      <c r="H31" s="1"/>
      <c r="I31" s="1"/>
      <c r="K31" s="7"/>
      <c r="L31" s="7"/>
      <c r="M31" s="7"/>
      <c r="N31" s="7"/>
      <c r="O31" s="6"/>
      <c r="P31" s="1"/>
      <c r="Q31" s="1"/>
    </row>
    <row r="32" spans="1:20" ht="16" x14ac:dyDescent="0.2">
      <c r="A32" s="9">
        <v>26</v>
      </c>
      <c r="B32" s="11"/>
      <c r="G32" s="1"/>
      <c r="H32" s="1"/>
      <c r="I32" s="1"/>
      <c r="K32" s="1"/>
      <c r="L32" s="1"/>
      <c r="M32" s="1"/>
      <c r="N32" s="1"/>
      <c r="P32" s="1"/>
      <c r="Q32" s="1"/>
    </row>
    <row r="33" spans="1:18" ht="16" x14ac:dyDescent="0.2">
      <c r="A33" s="10">
        <v>27</v>
      </c>
      <c r="B33" s="11"/>
      <c r="C33" s="1"/>
      <c r="G33" s="1"/>
      <c r="H33" s="1"/>
      <c r="I33" s="1"/>
      <c r="K33" s="1"/>
      <c r="L33" s="1"/>
      <c r="M33" s="1"/>
      <c r="N33" s="1"/>
      <c r="P33" s="1"/>
      <c r="Q33" s="1"/>
    </row>
    <row r="34" spans="1:18" ht="16" x14ac:dyDescent="0.2">
      <c r="A34" s="10">
        <v>28</v>
      </c>
      <c r="B34" s="11"/>
      <c r="C34" s="1"/>
      <c r="G34" s="1"/>
      <c r="H34" s="1"/>
      <c r="I34" s="1"/>
      <c r="K34" s="1"/>
      <c r="L34" s="1"/>
      <c r="M34" s="1"/>
      <c r="N34" s="1"/>
      <c r="P34" s="1"/>
      <c r="Q34" s="1"/>
    </row>
    <row r="35" spans="1:18" ht="16" x14ac:dyDescent="0.2">
      <c r="A35" s="10">
        <v>29</v>
      </c>
      <c r="B35" s="11"/>
      <c r="C35" s="1"/>
      <c r="G35" s="1"/>
      <c r="H35" s="1"/>
      <c r="I35" s="1"/>
      <c r="K35" s="1"/>
      <c r="L35" s="1"/>
      <c r="M35" s="1"/>
      <c r="N35" s="1"/>
      <c r="P35" s="1"/>
      <c r="Q35" s="1"/>
    </row>
    <row r="36" spans="1:18" ht="16" x14ac:dyDescent="0.2">
      <c r="A36" s="9">
        <v>30</v>
      </c>
      <c r="B36" s="11"/>
      <c r="C36" s="1"/>
      <c r="G36" s="1"/>
      <c r="H36" s="1"/>
      <c r="I36" s="1"/>
      <c r="K36" s="1"/>
      <c r="L36" s="1"/>
      <c r="M36" s="1"/>
      <c r="N36" s="1"/>
      <c r="P36" s="1"/>
      <c r="Q36" s="1"/>
    </row>
    <row r="37" spans="1:18" ht="16" x14ac:dyDescent="0.2">
      <c r="A37" s="10">
        <v>31</v>
      </c>
      <c r="B37" s="11"/>
      <c r="C37" s="1"/>
      <c r="G37" s="1"/>
      <c r="H37" s="1"/>
      <c r="I37" s="1"/>
      <c r="K37" s="1"/>
      <c r="L37" s="1"/>
      <c r="M37" s="1"/>
      <c r="N37" s="1"/>
      <c r="P37" s="1"/>
      <c r="Q37" s="1"/>
    </row>
    <row r="38" spans="1:18" ht="16" x14ac:dyDescent="0.2">
      <c r="A38" s="9">
        <v>32</v>
      </c>
      <c r="B38" s="11"/>
      <c r="C38" s="1"/>
      <c r="G38" s="1"/>
      <c r="H38" s="1"/>
    </row>
    <row r="39" spans="1:18" ht="16" x14ac:dyDescent="0.2">
      <c r="A39" s="10">
        <v>33</v>
      </c>
      <c r="B39" s="11"/>
      <c r="C39" s="1"/>
      <c r="G39" s="1"/>
      <c r="H39" s="1"/>
    </row>
    <row r="40" spans="1:18" ht="16" x14ac:dyDescent="0.2">
      <c r="A40" s="10">
        <v>34</v>
      </c>
      <c r="B40" s="11"/>
      <c r="C40" s="1"/>
      <c r="G40" s="1"/>
      <c r="H40" s="1"/>
    </row>
    <row r="41" spans="1:18" ht="16" x14ac:dyDescent="0.2">
      <c r="A41" s="10">
        <v>35</v>
      </c>
      <c r="B41" s="11"/>
      <c r="C41" s="1"/>
      <c r="G41" s="1"/>
      <c r="H41" s="1"/>
      <c r="I41" s="176"/>
      <c r="J41" s="176"/>
      <c r="K41" s="176"/>
      <c r="L41" s="176"/>
      <c r="M41" s="176"/>
      <c r="N41" s="176"/>
      <c r="O41" s="176"/>
      <c r="P41" s="176"/>
      <c r="Q41" s="176"/>
      <c r="R41" s="176"/>
    </row>
    <row r="42" spans="1:18" ht="17" x14ac:dyDescent="0.25">
      <c r="A42" s="9">
        <v>36</v>
      </c>
      <c r="B42" s="11"/>
      <c r="C42" s="1"/>
      <c r="G42" s="1"/>
      <c r="H42" s="1"/>
      <c r="I42" s="176"/>
      <c r="J42" s="176"/>
      <c r="K42" s="176"/>
      <c r="L42" s="176"/>
      <c r="M42" s="176">
        <v>1</v>
      </c>
      <c r="N42" s="176"/>
      <c r="O42" s="176"/>
      <c r="P42" s="176" t="s">
        <v>41</v>
      </c>
      <c r="Q42" s="186">
        <v>1</v>
      </c>
      <c r="R42" s="176"/>
    </row>
    <row r="43" spans="1:18" ht="16" x14ac:dyDescent="0.2">
      <c r="A43" s="10">
        <v>37</v>
      </c>
      <c r="B43" s="11"/>
      <c r="G43" s="1"/>
      <c r="H43" s="1"/>
      <c r="I43" s="176"/>
      <c r="J43" s="176"/>
      <c r="K43" s="176"/>
      <c r="L43" s="176"/>
      <c r="M43" s="176"/>
      <c r="N43" s="176"/>
      <c r="O43" s="176"/>
      <c r="P43" s="176" t="s">
        <v>42</v>
      </c>
      <c r="Q43" s="122">
        <v>45698</v>
      </c>
      <c r="R43" s="176"/>
    </row>
    <row r="44" spans="1:18" ht="16" x14ac:dyDescent="0.2">
      <c r="A44" s="9">
        <v>38</v>
      </c>
      <c r="B44" s="11"/>
      <c r="G44" s="1"/>
      <c r="H44" s="1"/>
      <c r="I44" s="176"/>
      <c r="J44" s="176"/>
      <c r="K44" s="176"/>
      <c r="L44" s="176"/>
      <c r="M44" s="176"/>
      <c r="N44" s="176"/>
      <c r="O44" s="176"/>
      <c r="P44" s="176"/>
      <c r="Q44" s="122"/>
      <c r="R44" s="176"/>
    </row>
    <row r="45" spans="1:18" ht="16" x14ac:dyDescent="0.2">
      <c r="A45" s="10">
        <v>39</v>
      </c>
      <c r="B45" s="11"/>
      <c r="G45" s="1"/>
      <c r="H45" s="1"/>
      <c r="I45" s="176"/>
      <c r="J45" s="176"/>
      <c r="K45" s="176"/>
      <c r="L45" s="176"/>
      <c r="M45" s="176"/>
      <c r="N45" s="176"/>
      <c r="O45" s="176"/>
      <c r="P45" s="176" t="s">
        <v>43</v>
      </c>
      <c r="Q45" s="122"/>
      <c r="R45" s="176"/>
    </row>
    <row r="46" spans="1:18" ht="16" x14ac:dyDescent="0.2">
      <c r="A46" s="10">
        <v>40</v>
      </c>
      <c r="B46" s="11"/>
      <c r="G46" s="1"/>
      <c r="H46" s="1"/>
    </row>
    <row r="47" spans="1:18" ht="16" x14ac:dyDescent="0.2">
      <c r="A47" s="10">
        <v>41</v>
      </c>
      <c r="B47" s="11"/>
      <c r="G47" s="1"/>
      <c r="H47" s="1"/>
    </row>
    <row r="48" spans="1:18" ht="16" x14ac:dyDescent="0.2">
      <c r="A48" s="9">
        <v>42</v>
      </c>
      <c r="B48" s="11"/>
      <c r="G48" s="1"/>
      <c r="H48" s="1"/>
    </row>
    <row r="49" spans="1:34" ht="16" x14ac:dyDescent="0.2">
      <c r="A49" s="10">
        <v>43</v>
      </c>
      <c r="B49" s="11"/>
      <c r="G49" s="1"/>
      <c r="H49" s="1"/>
    </row>
    <row r="50" spans="1:34" ht="16" x14ac:dyDescent="0.2">
      <c r="A50" s="9">
        <v>44</v>
      </c>
      <c r="B50" s="11"/>
      <c r="G50" s="1"/>
      <c r="H50" s="1"/>
      <c r="AH50" s="177"/>
    </row>
    <row r="51" spans="1:34" ht="16" x14ac:dyDescent="0.2">
      <c r="A51" s="10">
        <v>45</v>
      </c>
      <c r="B51" s="11"/>
      <c r="G51" s="1"/>
      <c r="H51" s="1"/>
    </row>
    <row r="52" spans="1:34" ht="16" x14ac:dyDescent="0.2">
      <c r="A52" s="10">
        <v>46</v>
      </c>
      <c r="B52" s="11"/>
      <c r="G52" s="1"/>
      <c r="H52" s="1"/>
      <c r="I52" s="1"/>
      <c r="K52" s="1"/>
      <c r="L52" s="1"/>
      <c r="M52" s="1"/>
      <c r="N52" s="1"/>
    </row>
    <row r="53" spans="1:34" ht="16" x14ac:dyDescent="0.2">
      <c r="A53" s="10">
        <v>47</v>
      </c>
      <c r="B53" s="11"/>
      <c r="G53" s="1"/>
      <c r="H53" s="1"/>
      <c r="I53" s="1"/>
      <c r="K53" s="1"/>
      <c r="L53" s="1"/>
      <c r="M53" s="1"/>
      <c r="N53" s="1"/>
    </row>
    <row r="54" spans="1:34" ht="16" x14ac:dyDescent="0.2">
      <c r="A54" s="9">
        <v>48</v>
      </c>
      <c r="B54" s="11"/>
      <c r="G54" s="1"/>
      <c r="H54" s="1"/>
      <c r="I54" s="1"/>
      <c r="K54" s="1"/>
      <c r="L54" s="1"/>
      <c r="M54" s="1"/>
      <c r="N54" s="1"/>
    </row>
    <row r="55" spans="1:34" ht="16" x14ac:dyDescent="0.2">
      <c r="A55" s="10">
        <v>49</v>
      </c>
      <c r="B55" s="11"/>
      <c r="G55" s="1"/>
      <c r="H55" s="1"/>
      <c r="I55" s="1"/>
      <c r="K55" s="1"/>
      <c r="L55" s="1"/>
      <c r="M55" s="1"/>
      <c r="N55" s="1"/>
    </row>
    <row r="56" spans="1:34" ht="16" x14ac:dyDescent="0.2">
      <c r="A56" s="10">
        <v>50</v>
      </c>
      <c r="B56" s="11"/>
      <c r="G56" s="1"/>
      <c r="H56" s="1"/>
      <c r="I56" s="1"/>
      <c r="K56" s="1"/>
      <c r="L56" s="1"/>
      <c r="M56" s="1"/>
      <c r="N56" s="1"/>
    </row>
    <row r="57" spans="1:34" ht="16" x14ac:dyDescent="0.2">
      <c r="A57" s="10" t="s">
        <v>44</v>
      </c>
      <c r="B57" s="11"/>
      <c r="G57" s="1"/>
      <c r="H57" s="1"/>
      <c r="I57" s="1"/>
      <c r="K57" s="1"/>
      <c r="L57" s="1"/>
      <c r="M57" s="1"/>
      <c r="N57" s="1"/>
    </row>
    <row r="58" spans="1:34" ht="16" x14ac:dyDescent="0.2">
      <c r="A58" s="10" t="s">
        <v>44</v>
      </c>
      <c r="B58" s="11"/>
      <c r="G58" s="1"/>
      <c r="H58" s="1"/>
      <c r="I58" s="1"/>
      <c r="K58" s="1"/>
      <c r="L58" s="1"/>
      <c r="M58" s="1"/>
      <c r="N58" s="1"/>
    </row>
    <row r="59" spans="1:34" ht="16" x14ac:dyDescent="0.2">
      <c r="A59" s="10" t="s">
        <v>44</v>
      </c>
      <c r="B59" s="11"/>
      <c r="G59" s="1"/>
      <c r="H59" s="1"/>
      <c r="I59" s="1"/>
      <c r="K59" s="1"/>
      <c r="L59" s="1"/>
      <c r="M59" s="1"/>
      <c r="N59" s="1"/>
    </row>
    <row r="60" spans="1:34" ht="16" x14ac:dyDescent="0.2">
      <c r="B60" s="11"/>
      <c r="G60" s="1"/>
      <c r="H60" s="1"/>
      <c r="I60" s="1"/>
      <c r="K60" s="1"/>
      <c r="L60" s="1"/>
      <c r="M60" s="1"/>
      <c r="N60" s="1"/>
    </row>
    <row r="61" spans="1:34" ht="16" x14ac:dyDescent="0.2">
      <c r="B61" s="11"/>
      <c r="G61" s="1"/>
      <c r="H61" s="1"/>
      <c r="I61" s="1"/>
      <c r="K61" s="1"/>
      <c r="L61" s="1"/>
      <c r="M61" s="1"/>
      <c r="N61" s="1"/>
    </row>
    <row r="62" spans="1:34" ht="16" x14ac:dyDescent="0.2">
      <c r="B62" s="11"/>
      <c r="G62" s="1"/>
      <c r="H62" s="1"/>
      <c r="I62" s="1"/>
      <c r="K62" s="1"/>
      <c r="L62" s="1"/>
      <c r="M62" s="1"/>
      <c r="N62" s="1"/>
    </row>
    <row r="63" spans="1:34" ht="16" x14ac:dyDescent="0.2">
      <c r="B63" s="11"/>
      <c r="G63" s="1"/>
      <c r="H63" s="1"/>
      <c r="I63" s="1"/>
      <c r="K63" s="1"/>
      <c r="L63" s="1"/>
      <c r="M63" s="1"/>
      <c r="N63" s="1"/>
    </row>
    <row r="64" spans="1:34" ht="16" x14ac:dyDescent="0.2">
      <c r="B64" s="11"/>
      <c r="G64" s="1"/>
      <c r="H64" s="1"/>
      <c r="I64" s="1"/>
      <c r="K64" s="1"/>
      <c r="L64" s="1"/>
      <c r="M64" s="1"/>
      <c r="N64" s="1"/>
    </row>
    <row r="65" spans="2:14" ht="16" x14ac:dyDescent="0.2">
      <c r="B65" s="11"/>
      <c r="G65" s="1"/>
      <c r="H65" s="1"/>
      <c r="I65" s="1"/>
      <c r="K65" s="1"/>
      <c r="L65" s="1"/>
      <c r="M65" s="1"/>
      <c r="N65" s="1"/>
    </row>
    <row r="66" spans="2:14" ht="16" x14ac:dyDescent="0.2">
      <c r="B66" s="11"/>
      <c r="G66" s="1"/>
      <c r="H66" s="1"/>
      <c r="I66" s="1"/>
      <c r="K66" s="1"/>
      <c r="L66" s="1"/>
      <c r="M66" s="1"/>
      <c r="N66" s="1"/>
    </row>
    <row r="67" spans="2:14" ht="16" x14ac:dyDescent="0.2">
      <c r="B67" s="11"/>
      <c r="G67" s="1"/>
      <c r="H67" s="1"/>
      <c r="I67" s="1"/>
      <c r="K67" s="1"/>
      <c r="L67" s="1"/>
      <c r="M67" s="1"/>
      <c r="N67" s="1"/>
    </row>
    <row r="68" spans="2:14" ht="16" x14ac:dyDescent="0.2">
      <c r="B68" s="11"/>
      <c r="G68" s="1"/>
      <c r="H68" s="1"/>
      <c r="I68" s="1"/>
      <c r="K68" s="1"/>
      <c r="L68" s="1"/>
      <c r="M68" s="1"/>
      <c r="N68" s="1"/>
    </row>
    <row r="69" spans="2:14" ht="16" x14ac:dyDescent="0.2">
      <c r="B69" s="11"/>
      <c r="G69" s="1"/>
      <c r="H69" s="1"/>
      <c r="I69" s="1"/>
      <c r="K69" s="1"/>
      <c r="L69" s="1"/>
      <c r="M69" s="1"/>
      <c r="N69" s="1"/>
    </row>
    <row r="70" spans="2:14" ht="16" x14ac:dyDescent="0.2">
      <c r="B70" s="11"/>
      <c r="G70" s="1"/>
      <c r="H70" s="1"/>
      <c r="I70" s="1"/>
      <c r="K70" s="1"/>
      <c r="L70" s="1"/>
      <c r="M70" s="1"/>
      <c r="N70" s="1"/>
    </row>
    <row r="71" spans="2:14" ht="16" x14ac:dyDescent="0.2">
      <c r="B71" s="11"/>
      <c r="G71" s="1"/>
      <c r="H71" s="1"/>
      <c r="I71" s="1"/>
      <c r="K71" s="1"/>
      <c r="L71" s="1"/>
      <c r="M71" s="1"/>
      <c r="N71" s="1"/>
    </row>
    <row r="72" spans="2:14" ht="16" x14ac:dyDescent="0.2">
      <c r="B72" s="11"/>
      <c r="G72" s="1"/>
      <c r="H72" s="1"/>
      <c r="I72" s="1"/>
      <c r="K72" s="1"/>
      <c r="L72" s="1"/>
      <c r="M72" s="1"/>
      <c r="N72" s="1"/>
    </row>
    <row r="73" spans="2:14" ht="16" x14ac:dyDescent="0.2">
      <c r="B73" s="11"/>
      <c r="G73" s="1"/>
      <c r="H73" s="1"/>
      <c r="I73" s="1"/>
      <c r="K73" s="1"/>
      <c r="L73" s="1"/>
      <c r="M73" s="1"/>
      <c r="N73" s="1"/>
    </row>
    <row r="74" spans="2:14" ht="16" x14ac:dyDescent="0.2">
      <c r="B74" s="11"/>
      <c r="G74" s="1"/>
      <c r="H74" s="1"/>
      <c r="I74" s="1"/>
      <c r="K74" s="1"/>
      <c r="L74" s="1"/>
      <c r="M74" s="1"/>
      <c r="N74" s="1"/>
    </row>
    <row r="75" spans="2:14" ht="16" x14ac:dyDescent="0.2">
      <c r="B75" s="11"/>
      <c r="G75" s="1"/>
      <c r="H75" s="1"/>
      <c r="I75" s="1"/>
      <c r="K75" s="1"/>
      <c r="L75" s="1"/>
      <c r="M75" s="1"/>
      <c r="N75" s="1"/>
    </row>
    <row r="76" spans="2:14" ht="16" x14ac:dyDescent="0.2">
      <c r="B76" s="11"/>
      <c r="G76" s="1"/>
      <c r="H76" s="1"/>
      <c r="I76" s="1"/>
      <c r="K76" s="1"/>
      <c r="L76" s="1"/>
      <c r="M76" s="1"/>
      <c r="N76" s="1"/>
    </row>
    <row r="77" spans="2:14" ht="16" x14ac:dyDescent="0.2">
      <c r="B77" s="11"/>
      <c r="G77" s="1"/>
      <c r="H77" s="1"/>
      <c r="I77" s="1"/>
      <c r="K77" s="1"/>
      <c r="L77" s="1"/>
      <c r="M77" s="1"/>
      <c r="N77" s="1"/>
    </row>
    <row r="78" spans="2:14" ht="16" x14ac:dyDescent="0.2">
      <c r="B78" s="11"/>
      <c r="G78" s="1"/>
      <c r="H78" s="1"/>
      <c r="I78" s="1"/>
      <c r="K78" s="1"/>
      <c r="L78" s="1"/>
      <c r="M78" s="1"/>
      <c r="N78" s="1"/>
    </row>
    <row r="79" spans="2:14" ht="16" x14ac:dyDescent="0.2">
      <c r="B79" s="11"/>
      <c r="G79" s="1"/>
      <c r="H79" s="1"/>
      <c r="I79" s="1"/>
      <c r="K79" s="1"/>
      <c r="L79" s="1"/>
      <c r="M79" s="1"/>
      <c r="N79" s="1"/>
    </row>
    <row r="80" spans="2:14" ht="16" x14ac:dyDescent="0.2">
      <c r="B80" s="11"/>
      <c r="G80" s="1"/>
      <c r="H80" s="1"/>
      <c r="I80" s="1"/>
      <c r="K80" s="1"/>
      <c r="L80" s="1"/>
      <c r="M80" s="1"/>
      <c r="N80" s="1"/>
    </row>
    <row r="81" spans="2:14" ht="16" x14ac:dyDescent="0.2">
      <c r="B81" s="11"/>
      <c r="G81" s="1"/>
      <c r="H81" s="1"/>
      <c r="I81" s="1"/>
      <c r="K81" s="1"/>
      <c r="L81" s="1"/>
      <c r="M81" s="1"/>
      <c r="N81" s="1"/>
    </row>
    <row r="82" spans="2:14" ht="16" x14ac:dyDescent="0.2">
      <c r="B82" s="11"/>
      <c r="G82" s="1"/>
      <c r="H82" s="1"/>
      <c r="I82" s="1"/>
      <c r="K82" s="1"/>
      <c r="L82" s="1"/>
      <c r="M82" s="1"/>
      <c r="N82" s="1"/>
    </row>
    <row r="83" spans="2:14" ht="16" x14ac:dyDescent="0.2">
      <c r="B83" s="11"/>
      <c r="G83" s="1"/>
      <c r="H83" s="1"/>
      <c r="I83" s="1"/>
      <c r="K83" s="1"/>
      <c r="L83" s="1"/>
      <c r="M83" s="1"/>
      <c r="N83" s="1"/>
    </row>
    <row r="84" spans="2:14" ht="16" x14ac:dyDescent="0.2">
      <c r="B84" s="11"/>
      <c r="G84" s="1"/>
      <c r="H84" s="1"/>
      <c r="I84" s="1"/>
      <c r="K84" s="1"/>
      <c r="L84" s="1"/>
      <c r="M84" s="1"/>
      <c r="N84" s="1"/>
    </row>
    <row r="85" spans="2:14" ht="16" x14ac:dyDescent="0.2">
      <c r="B85" s="11"/>
      <c r="G85" s="1"/>
      <c r="H85" s="1"/>
      <c r="I85" s="1"/>
      <c r="K85" s="1"/>
      <c r="L85" s="1"/>
      <c r="M85" s="1"/>
      <c r="N85" s="1"/>
    </row>
    <row r="86" spans="2:14" ht="16" x14ac:dyDescent="0.2">
      <c r="B86" s="11"/>
      <c r="G86" s="1"/>
      <c r="H86" s="1"/>
      <c r="I86" s="1"/>
      <c r="K86" s="1"/>
      <c r="L86" s="1"/>
      <c r="M86" s="1"/>
      <c r="N86" s="1"/>
    </row>
    <row r="87" spans="2:14" ht="16" x14ac:dyDescent="0.2">
      <c r="B87" s="11"/>
      <c r="G87" s="1"/>
      <c r="H87" s="1"/>
      <c r="I87" s="1"/>
      <c r="K87" s="1"/>
      <c r="L87" s="1"/>
      <c r="M87" s="1"/>
      <c r="N87" s="1"/>
    </row>
    <row r="88" spans="2:14" ht="16" x14ac:dyDescent="0.2">
      <c r="B88" s="11"/>
      <c r="G88" s="1"/>
      <c r="H88" s="1"/>
      <c r="I88" s="1"/>
      <c r="K88" s="1"/>
      <c r="L88" s="1"/>
      <c r="M88" s="1"/>
      <c r="N88" s="1"/>
    </row>
    <row r="89" spans="2:14" ht="16" x14ac:dyDescent="0.2">
      <c r="B89" s="11"/>
      <c r="G89" s="1"/>
      <c r="H89" s="1"/>
      <c r="I89" s="1"/>
      <c r="K89" s="1"/>
      <c r="L89" s="1"/>
      <c r="M89" s="1"/>
      <c r="N89" s="1"/>
    </row>
    <row r="90" spans="2:14" ht="16" x14ac:dyDescent="0.2">
      <c r="B90" s="11"/>
      <c r="G90" s="1"/>
      <c r="H90" s="1"/>
      <c r="I90" s="1"/>
      <c r="K90" s="1"/>
      <c r="L90" s="1"/>
      <c r="M90" s="1"/>
      <c r="N90" s="1"/>
    </row>
    <row r="91" spans="2:14" ht="16" x14ac:dyDescent="0.2">
      <c r="B91" s="11"/>
      <c r="G91" s="1"/>
      <c r="H91" s="1"/>
      <c r="I91" s="1"/>
      <c r="K91" s="1"/>
      <c r="L91" s="1"/>
      <c r="M91" s="1"/>
      <c r="N91" s="1"/>
    </row>
    <row r="92" spans="2:14" ht="16" x14ac:dyDescent="0.2">
      <c r="B92" s="11"/>
      <c r="G92" s="1"/>
      <c r="H92" s="1"/>
      <c r="I92" s="1"/>
      <c r="K92" s="1"/>
      <c r="L92" s="1"/>
      <c r="M92" s="1"/>
      <c r="N92" s="1"/>
    </row>
    <row r="93" spans="2:14" ht="16" x14ac:dyDescent="0.2">
      <c r="B93" s="11"/>
      <c r="G93" s="1"/>
      <c r="H93" s="1"/>
      <c r="I93" s="1"/>
      <c r="K93" s="1"/>
      <c r="L93" s="1"/>
      <c r="M93" s="1"/>
      <c r="N93" s="1"/>
    </row>
    <row r="94" spans="2:14" ht="16" x14ac:dyDescent="0.2">
      <c r="B94" s="11"/>
      <c r="G94" s="1"/>
      <c r="H94" s="1"/>
      <c r="I94" s="1"/>
      <c r="K94" s="1"/>
      <c r="L94" s="1"/>
      <c r="M94" s="1"/>
      <c r="N94" s="1"/>
    </row>
    <row r="95" spans="2:14" ht="16" x14ac:dyDescent="0.2">
      <c r="B95" s="11"/>
      <c r="G95" s="1"/>
      <c r="H95" s="1"/>
      <c r="I95" s="1"/>
      <c r="K95" s="1"/>
      <c r="L95" s="1"/>
      <c r="M95" s="1"/>
      <c r="N95" s="1"/>
    </row>
    <row r="96" spans="2:14" ht="16" x14ac:dyDescent="0.2">
      <c r="B96" s="11"/>
      <c r="G96" s="1"/>
      <c r="H96" s="1"/>
      <c r="I96" s="1"/>
      <c r="K96" s="1"/>
      <c r="L96" s="1"/>
      <c r="M96" s="1"/>
      <c r="N96" s="1"/>
    </row>
    <row r="97" spans="2:14" ht="16" x14ac:dyDescent="0.2">
      <c r="B97" s="11"/>
      <c r="G97" s="1"/>
      <c r="H97" s="1"/>
      <c r="I97" s="1"/>
      <c r="K97" s="1"/>
      <c r="L97" s="1"/>
      <c r="M97" s="1"/>
      <c r="N97" s="1"/>
    </row>
    <row r="98" spans="2:14" ht="16" x14ac:dyDescent="0.2">
      <c r="B98" s="11"/>
      <c r="G98" s="1"/>
      <c r="H98" s="1"/>
      <c r="I98" s="1"/>
      <c r="K98" s="1"/>
      <c r="L98" s="1"/>
      <c r="M98" s="1"/>
      <c r="N98" s="1"/>
    </row>
    <row r="99" spans="2:14" ht="16" x14ac:dyDescent="0.2">
      <c r="B99" s="11"/>
      <c r="G99" s="1"/>
      <c r="H99" s="1"/>
      <c r="I99" s="1"/>
      <c r="K99" s="1"/>
      <c r="L99" s="1"/>
      <c r="M99" s="1"/>
      <c r="N99" s="1"/>
    </row>
    <row r="100" spans="2:14" ht="16" x14ac:dyDescent="0.2">
      <c r="B100" s="11"/>
      <c r="G100" s="1"/>
      <c r="H100" s="1"/>
      <c r="I100" s="1"/>
      <c r="K100" s="1"/>
      <c r="L100" s="1"/>
      <c r="M100" s="1"/>
      <c r="N100" s="1"/>
    </row>
    <row r="101" spans="2:14" ht="16" x14ac:dyDescent="0.2">
      <c r="B101" s="11"/>
      <c r="G101" s="1"/>
      <c r="H101" s="1"/>
      <c r="I101" s="1"/>
      <c r="K101" s="1"/>
      <c r="L101" s="1"/>
      <c r="M101" s="1"/>
      <c r="N101" s="1"/>
    </row>
    <row r="102" spans="2:14" ht="16" x14ac:dyDescent="0.2">
      <c r="B102" s="11"/>
      <c r="G102" s="1"/>
      <c r="H102" s="1"/>
      <c r="I102" s="1"/>
      <c r="K102" s="1"/>
      <c r="L102" s="1"/>
      <c r="M102" s="1"/>
      <c r="N102" s="1"/>
    </row>
    <row r="103" spans="2:14" ht="16" x14ac:dyDescent="0.2">
      <c r="B103" s="11"/>
      <c r="G103" s="1"/>
      <c r="H103" s="1"/>
      <c r="I103" s="1"/>
      <c r="K103" s="1"/>
      <c r="L103" s="1"/>
      <c r="M103" s="1"/>
      <c r="N103" s="1"/>
    </row>
    <row r="104" spans="2:14" ht="15" hidden="1" x14ac:dyDescent="0.2">
      <c r="K104" s="1"/>
      <c r="L104" s="1"/>
      <c r="M104" s="1"/>
      <c r="N104" s="1"/>
    </row>
    <row r="105" spans="2:14" ht="15" hidden="1" x14ac:dyDescent="0.2">
      <c r="K105" s="1"/>
      <c r="L105" s="1"/>
      <c r="M105" s="1"/>
      <c r="N105" s="1"/>
    </row>
    <row r="106" spans="2:14" ht="15" hidden="1" x14ac:dyDescent="0.2">
      <c r="K106" s="1"/>
      <c r="L106" s="1"/>
      <c r="M106" s="1"/>
      <c r="N106" s="1"/>
    </row>
    <row r="107" spans="2:14" ht="15" hidden="1" x14ac:dyDescent="0.2">
      <c r="K107" s="1"/>
      <c r="L107" s="1"/>
      <c r="M107" s="1"/>
      <c r="N107" s="1"/>
    </row>
    <row r="108" spans="2:14" ht="15" hidden="1" x14ac:dyDescent="0.2">
      <c r="K108" s="1"/>
      <c r="L108" s="1"/>
      <c r="M108" s="1"/>
      <c r="N108" s="1"/>
    </row>
    <row r="109" spans="2:14" ht="15" hidden="1" x14ac:dyDescent="0.2">
      <c r="K109" s="1"/>
      <c r="L109" s="1"/>
      <c r="M109" s="1"/>
      <c r="N109" s="1"/>
    </row>
    <row r="110" spans="2:14" ht="15" hidden="1" x14ac:dyDescent="0.2">
      <c r="K110" s="1"/>
      <c r="L110" s="1"/>
      <c r="M110" s="1"/>
      <c r="N110" s="1"/>
    </row>
    <row r="111" spans="2:14" ht="15" hidden="1" x14ac:dyDescent="0.2">
      <c r="K111" s="1"/>
      <c r="L111" s="1"/>
      <c r="M111" s="1"/>
      <c r="N111" s="1"/>
    </row>
    <row r="112" spans="2:14" ht="15" hidden="1" x14ac:dyDescent="0.2">
      <c r="K112" s="1"/>
      <c r="L112" s="1"/>
      <c r="M112" s="1"/>
      <c r="N112" s="1"/>
    </row>
    <row r="113" spans="11:14" ht="15" hidden="1" x14ac:dyDescent="0.2">
      <c r="K113" s="1"/>
      <c r="L113" s="1"/>
      <c r="M113" s="1"/>
      <c r="N113" s="1"/>
    </row>
    <row r="114" spans="11:14" ht="15" hidden="1" x14ac:dyDescent="0.2">
      <c r="K114" s="1"/>
      <c r="L114" s="1"/>
      <c r="M114" s="1"/>
      <c r="N114" s="1"/>
    </row>
    <row r="115" spans="11:14" ht="15" hidden="1" x14ac:dyDescent="0.2">
      <c r="K115" s="1"/>
      <c r="L115" s="1"/>
      <c r="M115" s="1"/>
      <c r="N115" s="1"/>
    </row>
    <row r="116" spans="11:14" ht="15" hidden="1" x14ac:dyDescent="0.2">
      <c r="K116" s="1"/>
      <c r="L116" s="1"/>
      <c r="M116" s="1"/>
      <c r="N116" s="1"/>
    </row>
    <row r="117" spans="11:14" ht="15" hidden="1" x14ac:dyDescent="0.2">
      <c r="K117" s="1"/>
      <c r="L117" s="1"/>
      <c r="M117" s="1"/>
      <c r="N117" s="1"/>
    </row>
    <row r="118" spans="11:14" ht="15" hidden="1" x14ac:dyDescent="0.2">
      <c r="K118" s="1"/>
      <c r="L118" s="1"/>
      <c r="M118" s="1"/>
      <c r="N118" s="1"/>
    </row>
    <row r="119" spans="11:14" ht="15" hidden="1" x14ac:dyDescent="0.2">
      <c r="K119" s="1"/>
      <c r="L119" s="1"/>
      <c r="M119" s="1"/>
      <c r="N119" s="1"/>
    </row>
    <row r="120" spans="11:14" ht="15" hidden="1" x14ac:dyDescent="0.2">
      <c r="K120" s="1"/>
      <c r="L120" s="1"/>
      <c r="M120" s="1"/>
      <c r="N120" s="1"/>
    </row>
    <row r="121" spans="11:14" ht="15" hidden="1" x14ac:dyDescent="0.2">
      <c r="K121" s="1"/>
      <c r="L121" s="1"/>
      <c r="M121" s="1"/>
      <c r="N121" s="1"/>
    </row>
    <row r="122" spans="11:14" ht="15" hidden="1" x14ac:dyDescent="0.2">
      <c r="K122" s="1"/>
      <c r="L122" s="1"/>
      <c r="M122" s="1"/>
      <c r="N122" s="1"/>
    </row>
    <row r="123" spans="11:14" ht="15" hidden="1" x14ac:dyDescent="0.2">
      <c r="K123" s="1"/>
      <c r="L123" s="1"/>
      <c r="M123" s="1"/>
      <c r="N123" s="1"/>
    </row>
    <row r="124" spans="11:14" ht="15" hidden="1" x14ac:dyDescent="0.2">
      <c r="K124" s="1"/>
      <c r="L124" s="1"/>
      <c r="M124" s="1"/>
      <c r="N124" s="1"/>
    </row>
    <row r="125" spans="11:14" ht="15" hidden="1" x14ac:dyDescent="0.2">
      <c r="K125" s="1"/>
      <c r="L125" s="1"/>
      <c r="M125" s="1"/>
      <c r="N125" s="1"/>
    </row>
    <row r="126" spans="11:14" ht="15" hidden="1" x14ac:dyDescent="0.2">
      <c r="K126" s="1"/>
      <c r="L126" s="1"/>
      <c r="M126" s="1"/>
      <c r="N126" s="1"/>
    </row>
    <row r="127" spans="11:14" ht="15" hidden="1" x14ac:dyDescent="0.2">
      <c r="K127" s="1"/>
      <c r="L127" s="1"/>
      <c r="M127" s="1"/>
      <c r="N127" s="1"/>
    </row>
    <row r="128" spans="11:14" ht="15" hidden="1" x14ac:dyDescent="0.2">
      <c r="K128" s="1"/>
      <c r="L128" s="1"/>
      <c r="M128" s="1"/>
      <c r="N128" s="1"/>
    </row>
    <row r="129" spans="11:14" ht="15" hidden="1" x14ac:dyDescent="0.2">
      <c r="K129" s="1"/>
      <c r="L129" s="1"/>
      <c r="M129" s="1"/>
      <c r="N129" s="1"/>
    </row>
    <row r="130" spans="11:14" ht="15" hidden="1" x14ac:dyDescent="0.2">
      <c r="K130" s="1"/>
      <c r="L130" s="1"/>
      <c r="M130" s="1"/>
      <c r="N130" s="1"/>
    </row>
    <row r="131" spans="11:14" ht="15" hidden="1" x14ac:dyDescent="0.2">
      <c r="K131" s="1"/>
      <c r="L131" s="1"/>
      <c r="M131" s="1"/>
      <c r="N131" s="1"/>
    </row>
    <row r="132" spans="11:14" ht="15" hidden="1" x14ac:dyDescent="0.2">
      <c r="K132" s="1"/>
      <c r="L132" s="1"/>
      <c r="M132" s="1"/>
      <c r="N132" s="1"/>
    </row>
    <row r="133" spans="11:14" ht="15" hidden="1" x14ac:dyDescent="0.2">
      <c r="K133" s="1"/>
      <c r="L133" s="1"/>
      <c r="M133" s="1"/>
      <c r="N133" s="1"/>
    </row>
    <row r="134" spans="11:14" ht="15" hidden="1" x14ac:dyDescent="0.2">
      <c r="K134" s="1"/>
      <c r="L134" s="1"/>
      <c r="M134" s="1"/>
      <c r="N134" s="1"/>
    </row>
    <row r="135" spans="11:14" ht="15" hidden="1" x14ac:dyDescent="0.2">
      <c r="K135" s="1"/>
      <c r="L135" s="1"/>
      <c r="M135" s="1"/>
      <c r="N135" s="1"/>
    </row>
    <row r="136" spans="11:14" ht="15" hidden="1" x14ac:dyDescent="0.2">
      <c r="K136" s="1"/>
      <c r="L136" s="1"/>
      <c r="M136" s="1"/>
      <c r="N136" s="1"/>
    </row>
    <row r="137" spans="11:14" ht="15" hidden="1" x14ac:dyDescent="0.2">
      <c r="K137" s="1"/>
      <c r="L137" s="1"/>
      <c r="M137" s="1"/>
      <c r="N137" s="1"/>
    </row>
    <row r="138" spans="11:14" ht="15" hidden="1" x14ac:dyDescent="0.2">
      <c r="K138" s="1"/>
      <c r="L138" s="1"/>
      <c r="M138" s="1"/>
      <c r="N138" s="1"/>
    </row>
    <row r="139" spans="11:14" ht="15" hidden="1" x14ac:dyDescent="0.2">
      <c r="K139" s="1"/>
      <c r="L139" s="1"/>
      <c r="M139" s="1"/>
      <c r="N139" s="1"/>
    </row>
    <row r="140" spans="11:14" ht="15" hidden="1" x14ac:dyDescent="0.2">
      <c r="K140" s="1"/>
      <c r="L140" s="1"/>
      <c r="M140" s="1"/>
      <c r="N140" s="1"/>
    </row>
    <row r="141" spans="11:14" ht="15" hidden="1" x14ac:dyDescent="0.2">
      <c r="K141" s="1"/>
      <c r="L141" s="1"/>
      <c r="M141" s="1"/>
      <c r="N141" s="1"/>
    </row>
    <row r="142" spans="11:14" ht="15" hidden="1" x14ac:dyDescent="0.2">
      <c r="K142" s="1"/>
      <c r="L142" s="1"/>
      <c r="M142" s="1"/>
      <c r="N142" s="1"/>
    </row>
    <row r="143" spans="11:14" ht="15" hidden="1" x14ac:dyDescent="0.2">
      <c r="K143" s="1"/>
      <c r="L143" s="1"/>
      <c r="M143" s="1"/>
      <c r="N143" s="1"/>
    </row>
    <row r="144" spans="11:14" ht="15" hidden="1" x14ac:dyDescent="0.2">
      <c r="K144" s="1"/>
      <c r="L144" s="1"/>
      <c r="M144" s="1"/>
      <c r="N144" s="1"/>
    </row>
    <row r="145" spans="11:14" ht="15" hidden="1" x14ac:dyDescent="0.2">
      <c r="K145" s="1"/>
      <c r="L145" s="1"/>
      <c r="M145" s="1"/>
      <c r="N145" s="1"/>
    </row>
    <row r="146" spans="11:14" ht="15" hidden="1" x14ac:dyDescent="0.2">
      <c r="K146" s="1"/>
      <c r="L146" s="1"/>
      <c r="M146" s="1"/>
      <c r="N146" s="1"/>
    </row>
    <row r="147" spans="11:14" ht="15" hidden="1" x14ac:dyDescent="0.2">
      <c r="K147" s="1"/>
      <c r="L147" s="1"/>
      <c r="M147" s="1"/>
      <c r="N147" s="1"/>
    </row>
    <row r="148" spans="11:14" ht="15" hidden="1" x14ac:dyDescent="0.2">
      <c r="K148" s="1"/>
      <c r="L148" s="1"/>
      <c r="M148" s="1"/>
      <c r="N148" s="1"/>
    </row>
    <row r="149" spans="11:14" ht="15" hidden="1" x14ac:dyDescent="0.2">
      <c r="K149" s="1"/>
      <c r="L149" s="1"/>
      <c r="M149" s="1"/>
      <c r="N149" s="1"/>
    </row>
    <row r="150" spans="11:14" ht="15" hidden="1" x14ac:dyDescent="0.2">
      <c r="K150" s="1"/>
      <c r="L150" s="1"/>
      <c r="M150" s="1"/>
      <c r="N150" s="1"/>
    </row>
    <row r="151" spans="11:14" ht="15" hidden="1" x14ac:dyDescent="0.2">
      <c r="K151" s="1"/>
      <c r="L151" s="1"/>
      <c r="M151" s="1"/>
      <c r="N151" s="1"/>
    </row>
    <row r="152" spans="11:14" ht="15" hidden="1" x14ac:dyDescent="0.2">
      <c r="K152" s="1"/>
      <c r="L152" s="1"/>
      <c r="M152" s="1"/>
      <c r="N152" s="1"/>
    </row>
    <row r="153" spans="11:14" ht="15" hidden="1" x14ac:dyDescent="0.2">
      <c r="K153" s="1"/>
      <c r="L153" s="1"/>
      <c r="M153" s="1"/>
      <c r="N153" s="1"/>
    </row>
    <row r="154" spans="11:14" ht="15" hidden="1" x14ac:dyDescent="0.2">
      <c r="K154" s="1"/>
      <c r="L154" s="1"/>
      <c r="M154" s="1"/>
      <c r="N154" s="1"/>
    </row>
    <row r="155" spans="11:14" ht="15" hidden="1" x14ac:dyDescent="0.2">
      <c r="K155" s="1"/>
      <c r="L155" s="1"/>
      <c r="M155" s="1"/>
      <c r="N155" s="1"/>
    </row>
    <row r="156" spans="11:14" ht="15" hidden="1" x14ac:dyDescent="0.2">
      <c r="K156" s="1"/>
      <c r="L156" s="1"/>
      <c r="M156" s="1"/>
      <c r="N156" s="1"/>
    </row>
    <row r="157" spans="11:14" ht="15" hidden="1" x14ac:dyDescent="0.2">
      <c r="K157" s="1"/>
      <c r="L157" s="1"/>
      <c r="M157" s="1"/>
      <c r="N157" s="1"/>
    </row>
    <row r="158" spans="11:14" ht="15" hidden="1" x14ac:dyDescent="0.2">
      <c r="K158" s="1"/>
      <c r="L158" s="1"/>
      <c r="M158" s="1"/>
      <c r="N158" s="1"/>
    </row>
    <row r="159" spans="11:14" ht="15" hidden="1" x14ac:dyDescent="0.2">
      <c r="K159" s="1"/>
      <c r="L159" s="1"/>
      <c r="M159" s="1"/>
      <c r="N159" s="1"/>
    </row>
    <row r="160" spans="11:14" ht="15" hidden="1" x14ac:dyDescent="0.2">
      <c r="K160" s="1"/>
      <c r="L160" s="1"/>
      <c r="M160" s="1"/>
      <c r="N160" s="1"/>
    </row>
    <row r="161" spans="11:14" ht="15" hidden="1" x14ac:dyDescent="0.2">
      <c r="K161" s="1"/>
      <c r="L161" s="1"/>
      <c r="M161" s="1"/>
      <c r="N161" s="1"/>
    </row>
    <row r="162" spans="11:14" ht="15" hidden="1" x14ac:dyDescent="0.2">
      <c r="K162" s="1"/>
      <c r="L162" s="1"/>
      <c r="M162" s="1"/>
      <c r="N162" s="1"/>
    </row>
    <row r="163" spans="11:14" ht="15" hidden="1" x14ac:dyDescent="0.2">
      <c r="K163" s="1"/>
      <c r="L163" s="1"/>
      <c r="M163" s="1"/>
      <c r="N163" s="1"/>
    </row>
    <row r="164" spans="11:14" ht="15" hidden="1" x14ac:dyDescent="0.2">
      <c r="K164" s="1"/>
      <c r="L164" s="1"/>
      <c r="M164" s="1"/>
      <c r="N164" s="1"/>
    </row>
    <row r="165" spans="11:14" ht="15" hidden="1" x14ac:dyDescent="0.2">
      <c r="K165" s="1"/>
      <c r="L165" s="1"/>
      <c r="M165" s="1"/>
      <c r="N165" s="1"/>
    </row>
    <row r="166" spans="11:14" ht="15" hidden="1" x14ac:dyDescent="0.2">
      <c r="K166" s="1"/>
      <c r="L166" s="1"/>
      <c r="M166" s="1"/>
      <c r="N166" s="1"/>
    </row>
    <row r="167" spans="11:14" ht="15" hidden="1" x14ac:dyDescent="0.2">
      <c r="K167" s="1"/>
      <c r="L167" s="1"/>
      <c r="M167" s="1"/>
      <c r="N167" s="1"/>
    </row>
    <row r="168" spans="11:14" ht="15" hidden="1" x14ac:dyDescent="0.2">
      <c r="K168" s="1"/>
      <c r="L168" s="1"/>
      <c r="M168" s="1"/>
      <c r="N168" s="1"/>
    </row>
    <row r="169" spans="11:14" ht="15" hidden="1" x14ac:dyDescent="0.2">
      <c r="K169" s="1"/>
      <c r="L169" s="1"/>
      <c r="M169" s="1"/>
      <c r="N169" s="1"/>
    </row>
    <row r="170" spans="11:14" ht="15" hidden="1" x14ac:dyDescent="0.2">
      <c r="K170" s="1"/>
      <c r="L170" s="1"/>
      <c r="M170" s="1"/>
      <c r="N170" s="1"/>
    </row>
    <row r="171" spans="11:14" ht="15" hidden="1" x14ac:dyDescent="0.2">
      <c r="K171" s="1"/>
      <c r="L171" s="1"/>
      <c r="M171" s="1"/>
      <c r="N171" s="1"/>
    </row>
    <row r="172" spans="11:14" ht="15" hidden="1" x14ac:dyDescent="0.2">
      <c r="K172" s="1"/>
      <c r="L172" s="1"/>
      <c r="M172" s="1"/>
      <c r="N172" s="1"/>
    </row>
    <row r="173" spans="11:14" ht="15" hidden="1" x14ac:dyDescent="0.2">
      <c r="K173" s="1"/>
      <c r="L173" s="1"/>
      <c r="M173" s="1"/>
      <c r="N173" s="1"/>
    </row>
    <row r="174" spans="11:14" ht="15" hidden="1" x14ac:dyDescent="0.2">
      <c r="K174" s="1"/>
      <c r="L174" s="1"/>
      <c r="M174" s="1"/>
      <c r="N174" s="1"/>
    </row>
    <row r="175" spans="11:14" ht="15" hidden="1" x14ac:dyDescent="0.2">
      <c r="K175" s="1"/>
      <c r="L175" s="1"/>
      <c r="M175" s="1"/>
      <c r="N175" s="1"/>
    </row>
    <row r="176" spans="11:14" ht="15" hidden="1" x14ac:dyDescent="0.2">
      <c r="K176" s="1"/>
      <c r="L176" s="1"/>
      <c r="M176" s="1"/>
      <c r="N176" s="1"/>
    </row>
    <row r="177" spans="11:14" ht="15" hidden="1" x14ac:dyDescent="0.2">
      <c r="K177" s="1"/>
      <c r="L177" s="1"/>
      <c r="M177" s="1"/>
      <c r="N177" s="1"/>
    </row>
    <row r="178" spans="11:14" ht="15" hidden="1" x14ac:dyDescent="0.2">
      <c r="K178" s="1"/>
      <c r="L178" s="1"/>
      <c r="M178" s="1"/>
      <c r="N178" s="1"/>
    </row>
    <row r="179" spans="11:14" ht="15" hidden="1" x14ac:dyDescent="0.2">
      <c r="K179" s="1"/>
      <c r="L179" s="1"/>
      <c r="M179" s="1"/>
      <c r="N179" s="1"/>
    </row>
    <row r="180" spans="11:14" ht="15" hidden="1" x14ac:dyDescent="0.2">
      <c r="K180" s="1"/>
      <c r="L180" s="1"/>
      <c r="M180" s="1"/>
      <c r="N180" s="1"/>
    </row>
    <row r="181" spans="11:14" ht="15" hidden="1" x14ac:dyDescent="0.2">
      <c r="K181" s="1"/>
      <c r="L181" s="1"/>
      <c r="M181" s="1"/>
      <c r="N181" s="1"/>
    </row>
    <row r="182" spans="11:14" ht="15" hidden="1" x14ac:dyDescent="0.2">
      <c r="K182" s="1"/>
      <c r="L182" s="1"/>
      <c r="M182" s="1"/>
      <c r="N182" s="1"/>
    </row>
    <row r="183" spans="11:14" ht="15" hidden="1" x14ac:dyDescent="0.2">
      <c r="K183" s="1"/>
      <c r="L183" s="1"/>
      <c r="M183" s="1"/>
      <c r="N183" s="1"/>
    </row>
    <row r="184" spans="11:14" ht="15" hidden="1" x14ac:dyDescent="0.2">
      <c r="K184" s="1"/>
      <c r="L184" s="1"/>
      <c r="M184" s="1"/>
      <c r="N184" s="1"/>
    </row>
    <row r="185" spans="11:14" ht="15" hidden="1" x14ac:dyDescent="0.2">
      <c r="K185" s="1"/>
      <c r="L185" s="1"/>
      <c r="M185" s="1"/>
      <c r="N185" s="1"/>
    </row>
    <row r="186" spans="11:14" ht="15" hidden="1" x14ac:dyDescent="0.2">
      <c r="K186" s="1"/>
      <c r="L186" s="1"/>
      <c r="M186" s="1"/>
      <c r="N186" s="1"/>
    </row>
    <row r="187" spans="11:14" ht="15" hidden="1" x14ac:dyDescent="0.2">
      <c r="K187" s="1"/>
      <c r="L187" s="1"/>
      <c r="M187" s="1"/>
      <c r="N187" s="1"/>
    </row>
    <row r="188" spans="11:14" ht="15" hidden="1" x14ac:dyDescent="0.2">
      <c r="K188" s="1"/>
      <c r="L188" s="1"/>
      <c r="M188" s="1"/>
      <c r="N188" s="1"/>
    </row>
    <row r="189" spans="11:14" ht="15" hidden="1" x14ac:dyDescent="0.2">
      <c r="K189" s="1"/>
      <c r="L189" s="1"/>
      <c r="M189" s="1"/>
      <c r="N189" s="1"/>
    </row>
    <row r="190" spans="11:14" ht="15" hidden="1" x14ac:dyDescent="0.2">
      <c r="K190" s="1"/>
      <c r="L190" s="1"/>
      <c r="M190" s="1"/>
      <c r="N190" s="1"/>
    </row>
    <row r="191" spans="11:14" ht="15" hidden="1" x14ac:dyDescent="0.2">
      <c r="K191" s="1"/>
      <c r="L191" s="1"/>
      <c r="M191" s="1"/>
      <c r="N191" s="1"/>
    </row>
    <row r="192" spans="11:14" ht="15" hidden="1" x14ac:dyDescent="0.2">
      <c r="K192" s="1"/>
      <c r="L192" s="1"/>
      <c r="M192" s="1"/>
      <c r="N192" s="1"/>
    </row>
    <row r="193" spans="11:14" ht="15" hidden="1" x14ac:dyDescent="0.2">
      <c r="K193" s="1"/>
      <c r="L193" s="1"/>
      <c r="M193" s="1"/>
      <c r="N193" s="1"/>
    </row>
    <row r="194" spans="11:14" ht="15" hidden="1" x14ac:dyDescent="0.2">
      <c r="K194" s="1"/>
      <c r="L194" s="1"/>
      <c r="M194" s="1"/>
      <c r="N194" s="1"/>
    </row>
    <row r="195" spans="11:14" ht="15" hidden="1" x14ac:dyDescent="0.2">
      <c r="K195" s="1"/>
      <c r="L195" s="1"/>
      <c r="M195" s="1"/>
      <c r="N195" s="1"/>
    </row>
    <row r="196" spans="11:14" ht="15" hidden="1" x14ac:dyDescent="0.2">
      <c r="K196" s="1"/>
      <c r="L196" s="1"/>
      <c r="M196" s="1"/>
      <c r="N196" s="1"/>
    </row>
    <row r="197" spans="11:14" ht="15" hidden="1" x14ac:dyDescent="0.2">
      <c r="K197" s="1"/>
      <c r="L197" s="1"/>
      <c r="M197" s="1"/>
      <c r="N197" s="1"/>
    </row>
    <row r="198" spans="11:14" ht="15" hidden="1" x14ac:dyDescent="0.2">
      <c r="K198" s="1"/>
      <c r="L198" s="1"/>
      <c r="M198" s="1"/>
      <c r="N198" s="1"/>
    </row>
    <row r="199" spans="11:14" ht="15" hidden="1" x14ac:dyDescent="0.2">
      <c r="K199" s="1"/>
      <c r="L199" s="1"/>
      <c r="M199" s="1"/>
      <c r="N199" s="1"/>
    </row>
    <row r="200" spans="11:14" ht="15.5" hidden="1" customHeight="1" x14ac:dyDescent="0.2">
      <c r="K200" s="1"/>
      <c r="L200" s="1"/>
      <c r="M200" s="1"/>
      <c r="N200" s="1"/>
    </row>
    <row r="201" spans="11:14" ht="15.5" hidden="1" customHeight="1" x14ac:dyDescent="0.2">
      <c r="K201" s="1"/>
      <c r="L201" s="1"/>
      <c r="M201" s="1"/>
      <c r="N201" s="1"/>
    </row>
    <row r="202" spans="11:14" ht="15.5" hidden="1" customHeight="1" x14ac:dyDescent="0.2">
      <c r="K202" s="1"/>
      <c r="L202" s="1"/>
      <c r="M202" s="1"/>
      <c r="N202" s="1"/>
    </row>
    <row r="203" spans="11:14" ht="15.5" hidden="1" customHeight="1" x14ac:dyDescent="0.2">
      <c r="K203" s="1"/>
      <c r="L203" s="1"/>
      <c r="M203" s="1"/>
      <c r="N203" s="1"/>
    </row>
    <row r="204" spans="11:14" ht="15.5" hidden="1" customHeight="1" x14ac:dyDescent="0.2">
      <c r="K204" s="1"/>
      <c r="L204" s="1"/>
      <c r="M204" s="1"/>
      <c r="N204" s="1"/>
    </row>
    <row r="205" spans="11:14" ht="15.5" hidden="1" customHeight="1" x14ac:dyDescent="0.2">
      <c r="K205" s="1"/>
      <c r="L205" s="1"/>
      <c r="M205" s="1"/>
      <c r="N205" s="1"/>
    </row>
    <row r="206" spans="11:14" ht="15.5" hidden="1" customHeight="1" x14ac:dyDescent="0.2">
      <c r="K206" s="1"/>
      <c r="L206" s="1"/>
      <c r="M206" s="1"/>
      <c r="N206" s="1"/>
    </row>
    <row r="207" spans="11:14" ht="15.5" hidden="1" customHeight="1" x14ac:dyDescent="0.2">
      <c r="K207" s="1"/>
      <c r="L207" s="1"/>
      <c r="M207" s="1"/>
      <c r="N207" s="1"/>
    </row>
    <row r="208" spans="11:14" ht="15.5" hidden="1" customHeight="1" x14ac:dyDescent="0.2">
      <c r="K208" s="1"/>
      <c r="L208" s="1"/>
      <c r="M208" s="1"/>
      <c r="N208" s="1"/>
    </row>
    <row r="209" spans="11:14" ht="15.5" hidden="1" customHeight="1" x14ac:dyDescent="0.2">
      <c r="K209" s="1"/>
      <c r="L209" s="1"/>
      <c r="M209" s="1"/>
      <c r="N209" s="1"/>
    </row>
    <row r="210" spans="11:14" ht="15.5" hidden="1" customHeight="1" x14ac:dyDescent="0.2">
      <c r="K210" s="1"/>
      <c r="L210" s="1"/>
      <c r="M210" s="1"/>
      <c r="N210" s="1"/>
    </row>
    <row r="211" spans="11:14" ht="15.5" hidden="1" customHeight="1" x14ac:dyDescent="0.2">
      <c r="K211" s="1"/>
      <c r="L211" s="1"/>
      <c r="M211" s="1"/>
      <c r="N211" s="1"/>
    </row>
    <row r="212" spans="11:14" ht="15.5" hidden="1" customHeight="1" x14ac:dyDescent="0.2">
      <c r="K212" s="1"/>
      <c r="L212" s="1"/>
      <c r="M212" s="1"/>
      <c r="N212" s="1"/>
    </row>
    <row r="213" spans="11:14" ht="15.5" hidden="1" customHeight="1" x14ac:dyDescent="0.2">
      <c r="K213" s="1"/>
      <c r="L213" s="1"/>
      <c r="M213" s="1"/>
      <c r="N213" s="1"/>
    </row>
    <row r="214" spans="11:14" ht="15.5" hidden="1" customHeight="1" x14ac:dyDescent="0.2">
      <c r="K214" s="1"/>
      <c r="L214" s="1"/>
      <c r="M214" s="1"/>
      <c r="N214" s="1"/>
    </row>
    <row r="215" spans="11:14" ht="15.5" hidden="1" customHeight="1" x14ac:dyDescent="0.2">
      <c r="K215" s="1"/>
      <c r="L215" s="1"/>
      <c r="M215" s="1"/>
      <c r="N215" s="1"/>
    </row>
    <row r="216" spans="11:14" ht="15.5" hidden="1" customHeight="1" x14ac:dyDescent="0.2">
      <c r="K216" s="1"/>
      <c r="L216" s="1"/>
      <c r="M216" s="1"/>
      <c r="N216" s="1"/>
    </row>
    <row r="217" spans="11:14" ht="15.5" hidden="1" customHeight="1" x14ac:dyDescent="0.2">
      <c r="K217" s="1"/>
      <c r="L217" s="1"/>
      <c r="M217" s="1"/>
      <c r="N217" s="1"/>
    </row>
    <row r="218" spans="11:14" ht="15.5" hidden="1" customHeight="1" x14ac:dyDescent="0.2">
      <c r="K218" s="1"/>
      <c r="L218" s="1"/>
      <c r="M218" s="1"/>
      <c r="N218" s="1"/>
    </row>
    <row r="219" spans="11:14" ht="15.5" hidden="1" customHeight="1" x14ac:dyDescent="0.2">
      <c r="K219" s="1"/>
      <c r="L219" s="1"/>
      <c r="M219" s="1"/>
      <c r="N219" s="1"/>
    </row>
    <row r="220" spans="11:14" ht="15.5" hidden="1" customHeight="1" x14ac:dyDescent="0.2">
      <c r="K220" s="1"/>
      <c r="L220" s="1"/>
      <c r="M220" s="1"/>
      <c r="N220" s="1"/>
    </row>
    <row r="221" spans="11:14" ht="15.5" hidden="1" customHeight="1" x14ac:dyDescent="0.2">
      <c r="K221" s="1"/>
      <c r="L221" s="1"/>
      <c r="M221" s="1"/>
      <c r="N221" s="1"/>
    </row>
    <row r="222" spans="11:14" ht="15.5" hidden="1" customHeight="1" x14ac:dyDescent="0.2">
      <c r="K222" s="1"/>
      <c r="L222" s="1"/>
      <c r="M222" s="1"/>
      <c r="N222" s="1"/>
    </row>
    <row r="223" spans="11:14" ht="15.5" hidden="1" customHeight="1" x14ac:dyDescent="0.2">
      <c r="K223" s="1"/>
      <c r="L223" s="1"/>
      <c r="M223" s="1"/>
      <c r="N223" s="1"/>
    </row>
    <row r="224" spans="11:14" ht="15.5" hidden="1" customHeight="1" x14ac:dyDescent="0.2">
      <c r="K224" s="1"/>
      <c r="L224" s="1"/>
      <c r="M224" s="1"/>
      <c r="N224" s="1"/>
    </row>
    <row r="225" spans="11:14" ht="15.5" hidden="1" customHeight="1" x14ac:dyDescent="0.2">
      <c r="K225" s="1"/>
      <c r="L225" s="1"/>
      <c r="M225" s="1"/>
      <c r="N225" s="1"/>
    </row>
    <row r="226" spans="11:14" ht="15.5" hidden="1" customHeight="1" x14ac:dyDescent="0.2">
      <c r="K226" s="1"/>
      <c r="L226" s="1"/>
      <c r="M226" s="1"/>
      <c r="N226" s="1"/>
    </row>
    <row r="227" spans="11:14" ht="15.5" hidden="1" customHeight="1" x14ac:dyDescent="0.2">
      <c r="K227" s="1"/>
      <c r="L227" s="1"/>
      <c r="M227" s="1"/>
      <c r="N227" s="1"/>
    </row>
    <row r="228" spans="11:14" ht="15.5" hidden="1" customHeight="1" x14ac:dyDescent="0.2">
      <c r="K228" s="1"/>
      <c r="L228" s="1"/>
      <c r="M228" s="1"/>
      <c r="N228" s="1"/>
    </row>
    <row r="229" spans="11:14" ht="15.5" hidden="1" customHeight="1" x14ac:dyDescent="0.2">
      <c r="K229" s="1"/>
      <c r="L229" s="1"/>
      <c r="M229" s="1"/>
      <c r="N229" s="1"/>
    </row>
    <row r="230" spans="11:14" ht="15.5" hidden="1" customHeight="1" x14ac:dyDescent="0.2">
      <c r="K230" s="1"/>
      <c r="L230" s="1"/>
      <c r="M230" s="1"/>
      <c r="N230" s="1"/>
    </row>
    <row r="231" spans="11:14" ht="15.5" hidden="1" customHeight="1" x14ac:dyDescent="0.2">
      <c r="K231" s="1"/>
      <c r="L231" s="1"/>
      <c r="M231" s="1"/>
      <c r="N231" s="1"/>
    </row>
    <row r="232" spans="11:14" ht="15.5" hidden="1" customHeight="1" x14ac:dyDescent="0.2">
      <c r="K232" s="1"/>
      <c r="L232" s="1"/>
      <c r="M232" s="1"/>
      <c r="N232" s="1"/>
    </row>
    <row r="233" spans="11:14" ht="15.5" hidden="1" customHeight="1" x14ac:dyDescent="0.2">
      <c r="K233" s="1"/>
      <c r="L233" s="1"/>
      <c r="M233" s="1"/>
      <c r="N233" s="1"/>
    </row>
    <row r="234" spans="11:14" ht="15.5" hidden="1" customHeight="1" x14ac:dyDescent="0.2">
      <c r="K234" s="1"/>
      <c r="L234" s="1"/>
      <c r="M234" s="1"/>
      <c r="N234" s="1"/>
    </row>
    <row r="235" spans="11:14" ht="15.5" hidden="1" customHeight="1" x14ac:dyDescent="0.2">
      <c r="K235" s="1"/>
      <c r="L235" s="1"/>
      <c r="M235" s="1"/>
      <c r="N235" s="1"/>
    </row>
    <row r="236" spans="11:14" ht="15.5" hidden="1" customHeight="1" x14ac:dyDescent="0.2">
      <c r="K236" s="1"/>
      <c r="L236" s="1"/>
      <c r="M236" s="1"/>
      <c r="N236" s="1"/>
    </row>
    <row r="237" spans="11:14" ht="15.5" hidden="1" customHeight="1" x14ac:dyDescent="0.2">
      <c r="K237" s="1"/>
      <c r="L237" s="1"/>
      <c r="M237" s="1"/>
      <c r="N237" s="1"/>
    </row>
    <row r="238" spans="11:14" ht="15.5" hidden="1" customHeight="1" x14ac:dyDescent="0.2">
      <c r="K238" s="1"/>
      <c r="L238" s="1"/>
      <c r="M238" s="1"/>
      <c r="N238" s="1"/>
    </row>
    <row r="239" spans="11:14" ht="15.5" hidden="1" customHeight="1" x14ac:dyDescent="0.2">
      <c r="K239" s="1"/>
      <c r="L239" s="1"/>
      <c r="M239" s="1"/>
      <c r="N239" s="1"/>
    </row>
    <row r="240" spans="11:14" ht="15.5" hidden="1" customHeight="1" x14ac:dyDescent="0.2">
      <c r="K240" s="1"/>
      <c r="L240" s="1"/>
      <c r="M240" s="1"/>
      <c r="N240" s="1"/>
    </row>
    <row r="241" spans="11:14" ht="15.5" hidden="1" customHeight="1" x14ac:dyDescent="0.2">
      <c r="K241" s="1"/>
      <c r="L241" s="1"/>
      <c r="M241" s="1"/>
      <c r="N241" s="1"/>
    </row>
    <row r="242" spans="11:14" ht="15.5" hidden="1" customHeight="1" x14ac:dyDescent="0.2">
      <c r="K242" s="1"/>
      <c r="L242" s="1"/>
      <c r="M242" s="1"/>
      <c r="N242" s="1"/>
    </row>
    <row r="243" spans="11:14" ht="15.5" hidden="1" customHeight="1" x14ac:dyDescent="0.2">
      <c r="K243" s="1"/>
      <c r="L243" s="1"/>
      <c r="M243" s="1"/>
      <c r="N243" s="1"/>
    </row>
    <row r="244" spans="11:14" ht="15.5" hidden="1" customHeight="1" x14ac:dyDescent="0.2">
      <c r="K244" s="1"/>
      <c r="L244" s="1"/>
      <c r="M244" s="1"/>
      <c r="N244" s="1"/>
    </row>
    <row r="245" spans="11:14" ht="15.5" hidden="1" customHeight="1" x14ac:dyDescent="0.2">
      <c r="K245" s="1"/>
      <c r="L245" s="1"/>
      <c r="M245" s="1"/>
      <c r="N245" s="1"/>
    </row>
    <row r="246" spans="11:14" ht="15.5" hidden="1" customHeight="1" x14ac:dyDescent="0.2">
      <c r="K246" s="1"/>
      <c r="L246" s="1"/>
      <c r="M246" s="1"/>
      <c r="N246" s="1"/>
    </row>
    <row r="247" spans="11:14" ht="15.5" hidden="1" customHeight="1" x14ac:dyDescent="0.2">
      <c r="K247" s="1"/>
      <c r="L247" s="1"/>
      <c r="M247" s="1"/>
      <c r="N247" s="1"/>
    </row>
    <row r="248" spans="11:14" ht="15.5" hidden="1" customHeight="1" x14ac:dyDescent="0.2">
      <c r="K248" s="1"/>
      <c r="L248" s="1"/>
      <c r="M248" s="1"/>
      <c r="N248" s="1"/>
    </row>
    <row r="249" spans="11:14" ht="15.5" hidden="1" customHeight="1" x14ac:dyDescent="0.2">
      <c r="K249" s="1"/>
      <c r="L249" s="1"/>
      <c r="M249" s="1"/>
      <c r="N249" s="1"/>
    </row>
    <row r="250" spans="11:14" ht="15.5" hidden="1" customHeight="1" x14ac:dyDescent="0.2">
      <c r="K250" s="1"/>
      <c r="L250" s="1"/>
      <c r="M250" s="1"/>
      <c r="N250" s="1"/>
    </row>
    <row r="251" spans="11:14" ht="15.5" hidden="1" customHeight="1" x14ac:dyDescent="0.2">
      <c r="K251" s="1"/>
      <c r="L251" s="1"/>
      <c r="M251" s="1"/>
      <c r="N251" s="1"/>
    </row>
    <row r="252" spans="11:14" ht="15.5" hidden="1" customHeight="1" x14ac:dyDescent="0.2">
      <c r="K252" s="1"/>
      <c r="L252" s="1"/>
      <c r="M252" s="1"/>
      <c r="N252" s="1"/>
    </row>
    <row r="253" spans="11:14" ht="15.5" hidden="1" customHeight="1" x14ac:dyDescent="0.2">
      <c r="K253" s="1"/>
      <c r="L253" s="1"/>
      <c r="M253" s="1"/>
      <c r="N253" s="1"/>
    </row>
    <row r="254" spans="11:14" ht="15.5" hidden="1" customHeight="1" x14ac:dyDescent="0.2">
      <c r="K254" s="1"/>
      <c r="L254" s="1"/>
      <c r="M254" s="1"/>
      <c r="N254" s="1"/>
    </row>
    <row r="255" spans="11:14" ht="15.5" hidden="1" customHeight="1" x14ac:dyDescent="0.2">
      <c r="K255" s="1"/>
      <c r="L255" s="1"/>
      <c r="M255" s="1"/>
      <c r="N255" s="1"/>
    </row>
    <row r="256" spans="11:14" ht="15.5" hidden="1" customHeight="1" x14ac:dyDescent="0.2">
      <c r="K256" s="1"/>
      <c r="L256" s="1"/>
      <c r="M256" s="1"/>
      <c r="N256" s="1"/>
    </row>
    <row r="257" spans="11:14" ht="15.5" hidden="1" customHeight="1" x14ac:dyDescent="0.2">
      <c r="K257" s="1"/>
      <c r="L257" s="1"/>
      <c r="M257" s="1"/>
      <c r="N257" s="1"/>
    </row>
    <row r="258" spans="11:14" ht="15.5" hidden="1" customHeight="1" x14ac:dyDescent="0.2">
      <c r="K258" s="1"/>
      <c r="L258" s="1"/>
      <c r="M258" s="1"/>
      <c r="N258" s="1"/>
    </row>
    <row r="259" spans="11:14" ht="15.5" hidden="1" customHeight="1" x14ac:dyDescent="0.2">
      <c r="K259" s="1"/>
      <c r="L259" s="1"/>
      <c r="M259" s="1"/>
      <c r="N259" s="1"/>
    </row>
    <row r="260" spans="11:14" ht="15.5" hidden="1" customHeight="1" x14ac:dyDescent="0.2">
      <c r="K260" s="1"/>
      <c r="L260" s="1"/>
      <c r="M260" s="1"/>
      <c r="N260" s="1"/>
    </row>
    <row r="261" spans="11:14" ht="15.5" hidden="1" customHeight="1" x14ac:dyDescent="0.2">
      <c r="K261" s="1"/>
      <c r="L261" s="1"/>
      <c r="M261" s="1"/>
      <c r="N261" s="1"/>
    </row>
    <row r="262" spans="11:14" ht="15.5" hidden="1" customHeight="1" x14ac:dyDescent="0.2">
      <c r="K262" s="1"/>
      <c r="L262" s="1"/>
      <c r="M262" s="1"/>
      <c r="N262" s="1"/>
    </row>
    <row r="263" spans="11:14" ht="15.5" hidden="1" customHeight="1" x14ac:dyDescent="0.2">
      <c r="K263" s="1"/>
      <c r="L263" s="1"/>
      <c r="M263" s="1"/>
      <c r="N263" s="1"/>
    </row>
    <row r="264" spans="11:14" ht="15.5" hidden="1" customHeight="1" x14ac:dyDescent="0.2">
      <c r="K264" s="1"/>
      <c r="L264" s="1"/>
      <c r="M264" s="1"/>
      <c r="N264" s="1"/>
    </row>
    <row r="265" spans="11:14" ht="15.5" hidden="1" customHeight="1" x14ac:dyDescent="0.2">
      <c r="K265" s="1"/>
      <c r="L265" s="1"/>
      <c r="M265" s="1"/>
      <c r="N265" s="1"/>
    </row>
    <row r="266" spans="11:14" ht="15.5" hidden="1" customHeight="1" x14ac:dyDescent="0.2">
      <c r="K266" s="1"/>
      <c r="L266" s="1"/>
      <c r="M266" s="1"/>
      <c r="N266" s="1"/>
    </row>
    <row r="267" spans="11:14" ht="15.5" hidden="1" customHeight="1" x14ac:dyDescent="0.2">
      <c r="K267" s="1"/>
      <c r="L267" s="1"/>
      <c r="M267" s="1"/>
      <c r="N267" s="1"/>
    </row>
    <row r="268" spans="11:14" ht="15.5" hidden="1" customHeight="1" x14ac:dyDescent="0.2">
      <c r="K268" s="1"/>
      <c r="L268" s="1"/>
      <c r="M268" s="1"/>
      <c r="N268" s="1"/>
    </row>
    <row r="269" spans="11:14" ht="15.5" hidden="1" customHeight="1" x14ac:dyDescent="0.2">
      <c r="K269" s="1"/>
      <c r="L269" s="1"/>
      <c r="M269" s="1"/>
      <c r="N269" s="1"/>
    </row>
    <row r="270" spans="11:14" ht="15.5" hidden="1" customHeight="1" x14ac:dyDescent="0.2">
      <c r="K270" s="1"/>
      <c r="L270" s="1"/>
      <c r="M270" s="1"/>
      <c r="N270" s="1"/>
    </row>
    <row r="271" spans="11:14" ht="15.5" hidden="1" customHeight="1" x14ac:dyDescent="0.2">
      <c r="K271" s="1"/>
      <c r="L271" s="1"/>
      <c r="M271" s="1"/>
      <c r="N271" s="1"/>
    </row>
    <row r="272" spans="11:14" ht="15.5" hidden="1" customHeight="1" x14ac:dyDescent="0.2">
      <c r="K272" s="1"/>
      <c r="L272" s="1"/>
      <c r="M272" s="1"/>
      <c r="N272" s="1"/>
    </row>
    <row r="273" spans="11:14" ht="15.5" hidden="1" customHeight="1" x14ac:dyDescent="0.2">
      <c r="K273" s="1"/>
      <c r="L273" s="1"/>
      <c r="M273" s="1"/>
      <c r="N273" s="1"/>
    </row>
    <row r="274" spans="11:14" ht="15.5" hidden="1" customHeight="1" x14ac:dyDescent="0.2">
      <c r="K274" s="1"/>
      <c r="L274" s="1"/>
      <c r="M274" s="1"/>
      <c r="N274" s="1"/>
    </row>
    <row r="275" spans="11:14" ht="15.5" hidden="1" customHeight="1" x14ac:dyDescent="0.2">
      <c r="K275" s="1"/>
      <c r="L275" s="1"/>
      <c r="M275" s="1"/>
      <c r="N275" s="1"/>
    </row>
    <row r="276" spans="11:14" ht="15.5" hidden="1" customHeight="1" x14ac:dyDescent="0.2">
      <c r="K276" s="1"/>
      <c r="L276" s="1"/>
      <c r="M276" s="1"/>
      <c r="N276" s="1"/>
    </row>
    <row r="277" spans="11:14" ht="15.5" hidden="1" customHeight="1" x14ac:dyDescent="0.2">
      <c r="K277" s="1"/>
      <c r="L277" s="1"/>
      <c r="M277" s="1"/>
      <c r="N277" s="1"/>
    </row>
    <row r="278" spans="11:14" ht="15.5" hidden="1" customHeight="1" x14ac:dyDescent="0.2">
      <c r="K278" s="1"/>
      <c r="L278" s="1"/>
      <c r="M278" s="1"/>
      <c r="N278" s="1"/>
    </row>
    <row r="279" spans="11:14" ht="15.5" hidden="1" customHeight="1" x14ac:dyDescent="0.2">
      <c r="K279" s="1"/>
      <c r="L279" s="1"/>
      <c r="M279" s="1"/>
      <c r="N279" s="1"/>
    </row>
    <row r="280" spans="11:14" ht="15.5" hidden="1" customHeight="1" x14ac:dyDescent="0.2">
      <c r="K280" s="1"/>
      <c r="L280" s="1"/>
      <c r="M280" s="1"/>
      <c r="N280" s="1"/>
    </row>
    <row r="281" spans="11:14" ht="15.5" hidden="1" customHeight="1" x14ac:dyDescent="0.2">
      <c r="K281" s="1"/>
      <c r="L281" s="1"/>
      <c r="M281" s="1"/>
      <c r="N281" s="1"/>
    </row>
    <row r="282" spans="11:14" ht="15.5" hidden="1" customHeight="1" x14ac:dyDescent="0.2">
      <c r="K282" s="1"/>
      <c r="L282" s="1"/>
      <c r="M282" s="1"/>
      <c r="N282" s="1"/>
    </row>
    <row r="283" spans="11:14" ht="15.5" hidden="1" customHeight="1" x14ac:dyDescent="0.2">
      <c r="K283" s="1"/>
      <c r="L283" s="1"/>
      <c r="M283" s="1"/>
      <c r="N283" s="1"/>
    </row>
    <row r="284" spans="11:14" ht="15.5" hidden="1" customHeight="1" x14ac:dyDescent="0.2">
      <c r="K284" s="1"/>
      <c r="L284" s="1"/>
      <c r="M284" s="1"/>
      <c r="N284" s="1"/>
    </row>
    <row r="285" spans="11:14" ht="15.5" hidden="1" customHeight="1" x14ac:dyDescent="0.2">
      <c r="K285" s="1"/>
      <c r="L285" s="1"/>
      <c r="M285" s="1"/>
      <c r="N285" s="1"/>
    </row>
    <row r="286" spans="11:14" ht="15.5" hidden="1" customHeight="1" x14ac:dyDescent="0.2">
      <c r="K286" s="1"/>
      <c r="L286" s="1"/>
      <c r="M286" s="1"/>
      <c r="N286" s="1"/>
    </row>
    <row r="287" spans="11:14" ht="15.5" hidden="1" customHeight="1" x14ac:dyDescent="0.2">
      <c r="K287" s="1"/>
      <c r="L287" s="1"/>
      <c r="M287" s="1"/>
      <c r="N287" s="1"/>
    </row>
    <row r="288" spans="11:14" ht="15.5" hidden="1" customHeight="1" x14ac:dyDescent="0.2">
      <c r="K288" s="1"/>
      <c r="L288" s="1"/>
      <c r="M288" s="1"/>
      <c r="N288" s="1"/>
    </row>
    <row r="289" spans="11:14" ht="15.5" hidden="1" customHeight="1" x14ac:dyDescent="0.2">
      <c r="K289" s="1"/>
      <c r="L289" s="1"/>
      <c r="M289" s="1"/>
      <c r="N289" s="1"/>
    </row>
    <row r="290" spans="11:14" ht="15.5" hidden="1" customHeight="1" x14ac:dyDescent="0.2">
      <c r="K290" s="1"/>
      <c r="L290" s="1"/>
      <c r="M290" s="1"/>
      <c r="N290" s="1"/>
    </row>
    <row r="291" spans="11:14" ht="15.5" hidden="1" customHeight="1" x14ac:dyDescent="0.2">
      <c r="K291" s="1"/>
      <c r="L291" s="1"/>
      <c r="M291" s="1"/>
      <c r="N291" s="1"/>
    </row>
    <row r="292" spans="11:14" ht="15.5" hidden="1" customHeight="1" x14ac:dyDescent="0.2">
      <c r="K292" s="1"/>
      <c r="L292" s="1"/>
      <c r="M292" s="1"/>
      <c r="N292" s="1"/>
    </row>
    <row r="293" spans="11:14" ht="15.5" hidden="1" customHeight="1" x14ac:dyDescent="0.2">
      <c r="K293" s="1"/>
      <c r="L293" s="1"/>
      <c r="M293" s="1"/>
      <c r="N293" s="1"/>
    </row>
    <row r="294" spans="11:14" ht="15.5" hidden="1" customHeight="1" x14ac:dyDescent="0.2">
      <c r="K294" s="1"/>
      <c r="L294" s="1"/>
      <c r="M294" s="1"/>
      <c r="N294" s="1"/>
    </row>
    <row r="295" spans="11:14" ht="15.5" hidden="1" customHeight="1" x14ac:dyDescent="0.2">
      <c r="K295" s="1"/>
      <c r="L295" s="1"/>
      <c r="M295" s="1"/>
      <c r="N295" s="1"/>
    </row>
    <row r="296" spans="11:14" ht="15.5" hidden="1" customHeight="1" x14ac:dyDescent="0.2">
      <c r="K296" s="1"/>
      <c r="L296" s="1"/>
      <c r="M296" s="1"/>
      <c r="N296" s="1"/>
    </row>
    <row r="297" spans="11:14" ht="15.5" hidden="1" customHeight="1" x14ac:dyDescent="0.2">
      <c r="K297" s="1"/>
      <c r="L297" s="1"/>
      <c r="M297" s="1"/>
      <c r="N297" s="1"/>
    </row>
    <row r="298" spans="11:14" ht="15.5" hidden="1" customHeight="1" x14ac:dyDescent="0.2">
      <c r="K298" s="1"/>
      <c r="L298" s="1"/>
      <c r="M298" s="1"/>
      <c r="N298" s="1"/>
    </row>
    <row r="299" spans="11:14" ht="15.5" hidden="1" customHeight="1" x14ac:dyDescent="0.2">
      <c r="K299" s="1"/>
      <c r="L299" s="1"/>
      <c r="M299" s="1"/>
      <c r="N299" s="1"/>
    </row>
    <row r="300" spans="11:14" ht="15.5" hidden="1" customHeight="1" x14ac:dyDescent="0.2">
      <c r="K300" s="1"/>
      <c r="L300" s="1"/>
      <c r="M300" s="1"/>
      <c r="N300" s="1"/>
    </row>
    <row r="301" spans="11:14" ht="15.5" hidden="1" customHeight="1" x14ac:dyDescent="0.2">
      <c r="K301" s="1"/>
      <c r="L301" s="1"/>
      <c r="M301" s="1"/>
      <c r="N301" s="1"/>
    </row>
    <row r="302" spans="11:14" ht="15.5" hidden="1" customHeight="1" x14ac:dyDescent="0.2">
      <c r="K302" s="1"/>
      <c r="L302" s="1"/>
      <c r="M302" s="1"/>
      <c r="N302" s="1"/>
    </row>
    <row r="303" spans="11:14" ht="15.5" hidden="1" customHeight="1" x14ac:dyDescent="0.2">
      <c r="K303" s="1"/>
      <c r="L303" s="1"/>
      <c r="M303" s="1"/>
      <c r="N303" s="1"/>
    </row>
    <row r="304" spans="11:14" ht="15.5" hidden="1" customHeight="1" x14ac:dyDescent="0.2">
      <c r="K304" s="1"/>
      <c r="L304" s="1"/>
      <c r="M304" s="1"/>
      <c r="N304" s="1"/>
    </row>
    <row r="305" spans="11:14" ht="15.5" hidden="1" customHeight="1" x14ac:dyDescent="0.2">
      <c r="K305" s="1"/>
      <c r="L305" s="1"/>
      <c r="M305" s="1"/>
      <c r="N305" s="1"/>
    </row>
    <row r="306" spans="11:14" ht="15.5" hidden="1" customHeight="1" x14ac:dyDescent="0.2">
      <c r="K306" s="1"/>
      <c r="L306" s="1"/>
      <c r="M306" s="1"/>
      <c r="N306" s="1"/>
    </row>
    <row r="307" spans="11:14" ht="15.5" hidden="1" customHeight="1" x14ac:dyDescent="0.2">
      <c r="K307" s="1"/>
      <c r="L307" s="1"/>
      <c r="M307" s="1"/>
      <c r="N307" s="1"/>
    </row>
    <row r="308" spans="11:14" ht="15.5" hidden="1" customHeight="1" x14ac:dyDescent="0.2">
      <c r="K308" s="1"/>
      <c r="L308" s="1"/>
      <c r="M308" s="1"/>
      <c r="N308" s="1"/>
    </row>
    <row r="309" spans="11:14" ht="15.5" hidden="1" customHeight="1" x14ac:dyDescent="0.2">
      <c r="K309" s="1"/>
      <c r="L309" s="1"/>
      <c r="M309" s="1"/>
      <c r="N309" s="1"/>
    </row>
    <row r="310" spans="11:14" ht="15.5" hidden="1" customHeight="1" x14ac:dyDescent="0.2">
      <c r="K310" s="1"/>
      <c r="L310" s="1"/>
      <c r="M310" s="1"/>
      <c r="N310" s="1"/>
    </row>
    <row r="311" spans="11:14" ht="15.5" hidden="1" customHeight="1" x14ac:dyDescent="0.2">
      <c r="K311" s="1"/>
      <c r="L311" s="1"/>
      <c r="M311" s="1"/>
      <c r="N311" s="1"/>
    </row>
    <row r="312" spans="11:14" ht="15.5" hidden="1" customHeight="1" x14ac:dyDescent="0.2">
      <c r="K312" s="1"/>
      <c r="L312" s="1"/>
      <c r="M312" s="1"/>
      <c r="N312" s="1"/>
    </row>
    <row r="313" spans="11:14" ht="15.5" hidden="1" customHeight="1" x14ac:dyDescent="0.2">
      <c r="K313" s="1"/>
      <c r="L313" s="1"/>
      <c r="M313" s="1"/>
      <c r="N313" s="1"/>
    </row>
    <row r="314" spans="11:14" ht="15.5" hidden="1" customHeight="1" x14ac:dyDescent="0.2">
      <c r="K314" s="1"/>
      <c r="L314" s="1"/>
      <c r="M314" s="1"/>
      <c r="N314" s="1"/>
    </row>
    <row r="315" spans="11:14" ht="15.5" hidden="1" customHeight="1" x14ac:dyDescent="0.2">
      <c r="K315" s="1"/>
      <c r="L315" s="1"/>
      <c r="M315" s="1"/>
      <c r="N315" s="1"/>
    </row>
    <row r="316" spans="11:14" ht="15.5" hidden="1" customHeight="1" x14ac:dyDescent="0.2">
      <c r="K316" s="1"/>
      <c r="L316" s="1"/>
      <c r="M316" s="1"/>
      <c r="N316" s="1"/>
    </row>
    <row r="317" spans="11:14" ht="15.5" hidden="1" customHeight="1" x14ac:dyDescent="0.2">
      <c r="K317" s="1"/>
      <c r="L317" s="1"/>
      <c r="M317" s="1"/>
      <c r="N317" s="1"/>
    </row>
    <row r="318" spans="11:14" ht="15.5" hidden="1" customHeight="1" x14ac:dyDescent="0.2">
      <c r="K318" s="1"/>
      <c r="L318" s="1"/>
      <c r="M318" s="1"/>
      <c r="N318" s="1"/>
    </row>
    <row r="319" spans="11:14" ht="15.5" hidden="1" customHeight="1" x14ac:dyDescent="0.2">
      <c r="K319" s="1"/>
      <c r="L319" s="1"/>
      <c r="M319" s="1"/>
      <c r="N319" s="1"/>
    </row>
    <row r="320" spans="11:14" ht="15.5" hidden="1" customHeight="1" x14ac:dyDescent="0.2">
      <c r="K320" s="1"/>
      <c r="L320" s="1"/>
      <c r="M320" s="1"/>
      <c r="N320" s="1"/>
    </row>
    <row r="321" spans="11:14" ht="15.5" hidden="1" customHeight="1" x14ac:dyDescent="0.2">
      <c r="K321" s="1"/>
      <c r="L321" s="1"/>
      <c r="M321" s="1"/>
      <c r="N321" s="1"/>
    </row>
    <row r="322" spans="11:14" ht="15.5" hidden="1" customHeight="1" x14ac:dyDescent="0.2">
      <c r="K322" s="1"/>
      <c r="L322" s="1"/>
      <c r="M322" s="1"/>
      <c r="N322" s="1"/>
    </row>
    <row r="323" spans="11:14" ht="15.5" hidden="1" customHeight="1" x14ac:dyDescent="0.2">
      <c r="K323" s="1"/>
      <c r="L323" s="1"/>
      <c r="M323" s="1"/>
      <c r="N323" s="1"/>
    </row>
    <row r="324" spans="11:14" ht="15.5" hidden="1" customHeight="1" x14ac:dyDescent="0.2">
      <c r="K324" s="1"/>
      <c r="L324" s="1"/>
      <c r="M324" s="1"/>
      <c r="N324" s="1"/>
    </row>
    <row r="325" spans="11:14" ht="15.5" hidden="1" customHeight="1" x14ac:dyDescent="0.2">
      <c r="K325" s="1"/>
      <c r="L325" s="1"/>
      <c r="M325" s="1"/>
      <c r="N325" s="1"/>
    </row>
    <row r="326" spans="11:14" ht="15.5" hidden="1" customHeight="1" x14ac:dyDescent="0.2">
      <c r="K326" s="1"/>
      <c r="L326" s="1"/>
      <c r="M326" s="1"/>
      <c r="N326" s="1"/>
    </row>
    <row r="327" spans="11:14" ht="15.5" hidden="1" customHeight="1" x14ac:dyDescent="0.2">
      <c r="K327" s="1"/>
      <c r="L327" s="1"/>
      <c r="M327" s="1"/>
      <c r="N327" s="1"/>
    </row>
    <row r="328" spans="11:14" ht="15.5" hidden="1" customHeight="1" x14ac:dyDescent="0.2">
      <c r="K328" s="1"/>
      <c r="L328" s="1"/>
      <c r="M328" s="1"/>
      <c r="N328" s="1"/>
    </row>
    <row r="329" spans="11:14" ht="15.5" hidden="1" customHeight="1" x14ac:dyDescent="0.2">
      <c r="K329" s="1"/>
      <c r="L329" s="1"/>
      <c r="M329" s="1"/>
      <c r="N329" s="1"/>
    </row>
    <row r="330" spans="11:14" ht="15.5" hidden="1" customHeight="1" x14ac:dyDescent="0.2">
      <c r="K330" s="1"/>
      <c r="L330" s="1"/>
      <c r="M330" s="1"/>
      <c r="N330" s="1"/>
    </row>
    <row r="331" spans="11:14" ht="15.5" hidden="1" customHeight="1" x14ac:dyDescent="0.2">
      <c r="K331" s="1"/>
      <c r="L331" s="1"/>
      <c r="M331" s="1"/>
      <c r="N331" s="1"/>
    </row>
    <row r="332" spans="11:14" ht="15.5" hidden="1" customHeight="1" x14ac:dyDescent="0.2">
      <c r="K332" s="1"/>
      <c r="L332" s="1"/>
      <c r="M332" s="1"/>
      <c r="N332" s="1"/>
    </row>
    <row r="333" spans="11:14" ht="15.5" hidden="1" customHeight="1" x14ac:dyDescent="0.2">
      <c r="K333" s="1"/>
      <c r="L333" s="1"/>
      <c r="M333" s="1"/>
      <c r="N333" s="1"/>
    </row>
    <row r="334" spans="11:14" ht="15.5" hidden="1" customHeight="1" x14ac:dyDescent="0.2">
      <c r="K334" s="1"/>
      <c r="L334" s="1"/>
      <c r="M334" s="1"/>
      <c r="N334" s="1"/>
    </row>
    <row r="335" spans="11:14" ht="15.5" hidden="1" customHeight="1" x14ac:dyDescent="0.2">
      <c r="K335" s="1"/>
      <c r="L335" s="1"/>
      <c r="M335" s="1"/>
      <c r="N335" s="1"/>
    </row>
    <row r="336" spans="11:14" ht="15.5" hidden="1" customHeight="1" x14ac:dyDescent="0.2">
      <c r="K336" s="1"/>
      <c r="L336" s="1"/>
      <c r="M336" s="1"/>
      <c r="N336" s="1"/>
    </row>
    <row r="337" spans="11:14" ht="15.5" hidden="1" customHeight="1" x14ac:dyDescent="0.2">
      <c r="K337" s="1"/>
      <c r="L337" s="1"/>
      <c r="M337" s="1"/>
      <c r="N337" s="1"/>
    </row>
    <row r="338" spans="11:14" ht="15.5" hidden="1" customHeight="1" x14ac:dyDescent="0.2">
      <c r="K338" s="1"/>
      <c r="L338" s="1"/>
      <c r="M338" s="1"/>
      <c r="N338" s="1"/>
    </row>
    <row r="339" spans="11:14" ht="15.5" hidden="1" customHeight="1" x14ac:dyDescent="0.2">
      <c r="K339" s="1"/>
      <c r="L339" s="1"/>
      <c r="M339" s="1"/>
      <c r="N339" s="1"/>
    </row>
    <row r="340" spans="11:14" ht="15.5" hidden="1" customHeight="1" x14ac:dyDescent="0.2">
      <c r="K340" s="1"/>
      <c r="L340" s="1"/>
      <c r="M340" s="1"/>
      <c r="N340" s="1"/>
    </row>
    <row r="341" spans="11:14" ht="15.5" hidden="1" customHeight="1" x14ac:dyDescent="0.2">
      <c r="K341" s="1"/>
      <c r="L341" s="1"/>
      <c r="M341" s="1"/>
      <c r="N341" s="1"/>
    </row>
    <row r="342" spans="11:14" ht="15.5" hidden="1" customHeight="1" x14ac:dyDescent="0.2">
      <c r="K342" s="1"/>
      <c r="L342" s="1"/>
      <c r="M342" s="1"/>
      <c r="N342" s="1"/>
    </row>
    <row r="343" spans="11:14" ht="15.5" hidden="1" customHeight="1" x14ac:dyDescent="0.2">
      <c r="K343" s="1"/>
      <c r="L343" s="1"/>
      <c r="M343" s="1"/>
      <c r="N343" s="1"/>
    </row>
    <row r="344" spans="11:14" ht="15.5" hidden="1" customHeight="1" x14ac:dyDescent="0.2">
      <c r="K344" s="1"/>
      <c r="L344" s="1"/>
      <c r="M344" s="1"/>
      <c r="N344" s="1"/>
    </row>
    <row r="345" spans="11:14" ht="15.5" hidden="1" customHeight="1" x14ac:dyDescent="0.2">
      <c r="K345" s="1"/>
      <c r="L345" s="1"/>
      <c r="M345" s="1"/>
      <c r="N345" s="1"/>
    </row>
    <row r="346" spans="11:14" ht="15.5" hidden="1" customHeight="1" x14ac:dyDescent="0.2">
      <c r="K346" s="1"/>
      <c r="L346" s="1"/>
      <c r="M346" s="1"/>
      <c r="N346" s="1"/>
    </row>
    <row r="347" spans="11:14" ht="15.5" hidden="1" customHeight="1" x14ac:dyDescent="0.2">
      <c r="K347" s="1"/>
      <c r="L347" s="1"/>
      <c r="M347" s="1"/>
      <c r="N347" s="1"/>
    </row>
    <row r="348" spans="11:14" ht="15.5" hidden="1" customHeight="1" x14ac:dyDescent="0.2">
      <c r="K348" s="1"/>
      <c r="L348" s="1"/>
      <c r="M348" s="1"/>
      <c r="N348" s="1"/>
    </row>
    <row r="349" spans="11:14" ht="15.5" hidden="1" customHeight="1" x14ac:dyDescent="0.2">
      <c r="K349" s="1"/>
      <c r="L349" s="1"/>
      <c r="M349" s="1"/>
      <c r="N349" s="1"/>
    </row>
    <row r="350" spans="11:14" ht="15.5" hidden="1" customHeight="1" x14ac:dyDescent="0.2">
      <c r="K350" s="1"/>
      <c r="L350" s="1"/>
      <c r="M350" s="1"/>
      <c r="N350" s="1"/>
    </row>
    <row r="351" spans="11:14" ht="15.5" hidden="1" customHeight="1" x14ac:dyDescent="0.2">
      <c r="K351" s="1"/>
      <c r="L351" s="1"/>
      <c r="M351" s="1"/>
      <c r="N351" s="1"/>
    </row>
    <row r="352" spans="11:14" ht="15.5" hidden="1" customHeight="1" x14ac:dyDescent="0.2">
      <c r="K352" s="1"/>
      <c r="L352" s="1"/>
      <c r="M352" s="1"/>
      <c r="N352" s="1"/>
    </row>
    <row r="353" spans="11:14" ht="15.5" hidden="1" customHeight="1" x14ac:dyDescent="0.2">
      <c r="K353" s="1"/>
      <c r="L353" s="1"/>
      <c r="M353" s="1"/>
      <c r="N353" s="1"/>
    </row>
    <row r="354" spans="11:14" ht="15.5" hidden="1" customHeight="1" x14ac:dyDescent="0.2">
      <c r="K354" s="1"/>
      <c r="L354" s="1"/>
      <c r="M354" s="1"/>
      <c r="N354" s="1"/>
    </row>
    <row r="355" spans="11:14" ht="15.5" hidden="1" customHeight="1" x14ac:dyDescent="0.2">
      <c r="K355" s="1"/>
      <c r="L355" s="1"/>
      <c r="M355" s="1"/>
      <c r="N355" s="1"/>
    </row>
    <row r="356" spans="11:14" ht="15.5" hidden="1" customHeight="1" x14ac:dyDescent="0.2">
      <c r="K356" s="1"/>
      <c r="L356" s="1"/>
      <c r="M356" s="1"/>
      <c r="N356" s="1"/>
    </row>
    <row r="357" spans="11:14" ht="15.5" hidden="1" customHeight="1" x14ac:dyDescent="0.2">
      <c r="K357" s="1"/>
      <c r="L357" s="1"/>
      <c r="M357" s="1"/>
      <c r="N357" s="1"/>
    </row>
    <row r="358" spans="11:14" ht="15.5" hidden="1" customHeight="1" x14ac:dyDescent="0.2">
      <c r="K358" s="1"/>
      <c r="L358" s="1"/>
      <c r="M358" s="1"/>
      <c r="N358" s="1"/>
    </row>
    <row r="359" spans="11:14" ht="15.5" hidden="1" customHeight="1" x14ac:dyDescent="0.2">
      <c r="K359" s="1"/>
      <c r="L359" s="1"/>
      <c r="M359" s="1"/>
      <c r="N359" s="1"/>
    </row>
    <row r="360" spans="11:14" ht="15.5" hidden="1" customHeight="1" x14ac:dyDescent="0.2">
      <c r="K360" s="1"/>
      <c r="L360" s="1"/>
      <c r="M360" s="1"/>
      <c r="N360" s="1"/>
    </row>
    <row r="361" spans="11:14" ht="15.5" hidden="1" customHeight="1" x14ac:dyDescent="0.2">
      <c r="K361" s="1"/>
      <c r="L361" s="1"/>
      <c r="M361" s="1"/>
      <c r="N361" s="1"/>
    </row>
    <row r="362" spans="11:14" ht="15.5" hidden="1" customHeight="1" x14ac:dyDescent="0.2">
      <c r="K362" s="1"/>
      <c r="L362" s="1"/>
      <c r="M362" s="1"/>
      <c r="N362" s="1"/>
    </row>
    <row r="363" spans="11:14" ht="15.5" hidden="1" customHeight="1" x14ac:dyDescent="0.2">
      <c r="K363" s="1"/>
      <c r="L363" s="1"/>
      <c r="M363" s="1"/>
      <c r="N363" s="1"/>
    </row>
    <row r="364" spans="11:14" ht="15.5" hidden="1" customHeight="1" x14ac:dyDescent="0.2">
      <c r="K364" s="1"/>
      <c r="L364" s="1"/>
      <c r="M364" s="1"/>
      <c r="N364" s="1"/>
    </row>
    <row r="365" spans="11:14" ht="15.5" hidden="1" customHeight="1" x14ac:dyDescent="0.2">
      <c r="K365" s="1"/>
      <c r="L365" s="1"/>
      <c r="M365" s="1"/>
      <c r="N365" s="1"/>
    </row>
    <row r="366" spans="11:14" ht="15.5" hidden="1" customHeight="1" x14ac:dyDescent="0.2">
      <c r="K366" s="1"/>
      <c r="L366" s="1"/>
      <c r="M366" s="1"/>
      <c r="N366" s="1"/>
    </row>
    <row r="367" spans="11:14" ht="15.5" hidden="1" customHeight="1" x14ac:dyDescent="0.2">
      <c r="K367" s="1"/>
      <c r="L367" s="1"/>
      <c r="M367" s="1"/>
      <c r="N367" s="1"/>
    </row>
    <row r="368" spans="11:14" ht="15.5" hidden="1" customHeight="1" x14ac:dyDescent="0.2">
      <c r="K368" s="1"/>
      <c r="L368" s="1"/>
      <c r="M368" s="1"/>
      <c r="N368" s="1"/>
    </row>
    <row r="369" spans="11:14" ht="15.5" hidden="1" customHeight="1" x14ac:dyDescent="0.2">
      <c r="K369" s="1"/>
      <c r="L369" s="1"/>
      <c r="M369" s="1"/>
      <c r="N369" s="1"/>
    </row>
    <row r="370" spans="11:14" ht="15.5" hidden="1" customHeight="1" x14ac:dyDescent="0.2">
      <c r="K370" s="1"/>
      <c r="L370" s="1"/>
      <c r="M370" s="1"/>
      <c r="N370" s="1"/>
    </row>
    <row r="371" spans="11:14" ht="15.5" hidden="1" customHeight="1" x14ac:dyDescent="0.2">
      <c r="K371" s="1"/>
      <c r="L371" s="1"/>
      <c r="M371" s="1"/>
      <c r="N371" s="1"/>
    </row>
    <row r="372" spans="11:14" ht="15.5" hidden="1" customHeight="1" x14ac:dyDescent="0.2">
      <c r="K372" s="1"/>
      <c r="L372" s="1"/>
      <c r="M372" s="1"/>
      <c r="N372" s="1"/>
    </row>
    <row r="373" spans="11:14" ht="15.5" hidden="1" customHeight="1" x14ac:dyDescent="0.2">
      <c r="K373" s="1"/>
      <c r="L373" s="1"/>
      <c r="M373" s="1"/>
      <c r="N373" s="1"/>
    </row>
    <row r="374" spans="11:14" ht="15.5" hidden="1" customHeight="1" x14ac:dyDescent="0.2">
      <c r="K374" s="1"/>
      <c r="L374" s="1"/>
      <c r="M374" s="1"/>
      <c r="N374" s="1"/>
    </row>
    <row r="375" spans="11:14" ht="15.5" hidden="1" customHeight="1" x14ac:dyDescent="0.2">
      <c r="K375" s="1"/>
      <c r="L375" s="1"/>
      <c r="M375" s="1"/>
      <c r="N375" s="1"/>
    </row>
    <row r="376" spans="11:14" ht="15.5" hidden="1" customHeight="1" x14ac:dyDescent="0.2">
      <c r="K376" s="1"/>
      <c r="L376" s="1"/>
      <c r="M376" s="1"/>
      <c r="N376" s="1"/>
    </row>
    <row r="377" spans="11:14" ht="15.5" hidden="1" customHeight="1" x14ac:dyDescent="0.2">
      <c r="K377" s="1"/>
      <c r="L377" s="1"/>
      <c r="M377" s="1"/>
      <c r="N377" s="1"/>
    </row>
    <row r="378" spans="11:14" ht="15.5" hidden="1" customHeight="1" x14ac:dyDescent="0.2">
      <c r="K378" s="1"/>
      <c r="L378" s="1"/>
      <c r="M378" s="1"/>
      <c r="N378" s="1"/>
    </row>
    <row r="379" spans="11:14" ht="15.5" hidden="1" customHeight="1" x14ac:dyDescent="0.2">
      <c r="K379" s="1"/>
      <c r="L379" s="1"/>
      <c r="M379" s="1"/>
      <c r="N379" s="1"/>
    </row>
    <row r="380" spans="11:14" ht="15.5" hidden="1" customHeight="1" x14ac:dyDescent="0.2">
      <c r="K380" s="1"/>
      <c r="L380" s="1"/>
      <c r="M380" s="1"/>
      <c r="N380" s="1"/>
    </row>
    <row r="381" spans="11:14" ht="15.5" hidden="1" customHeight="1" x14ac:dyDescent="0.2">
      <c r="K381" s="1"/>
      <c r="L381" s="1"/>
      <c r="M381" s="1"/>
      <c r="N381" s="1"/>
    </row>
    <row r="382" spans="11:14" ht="15.5" hidden="1" customHeight="1" x14ac:dyDescent="0.2">
      <c r="K382" s="1"/>
      <c r="L382" s="1"/>
      <c r="M382" s="1"/>
      <c r="N382" s="1"/>
    </row>
    <row r="383" spans="11:14" ht="15.5" hidden="1" customHeight="1" x14ac:dyDescent="0.2">
      <c r="K383" s="1"/>
      <c r="L383" s="1"/>
      <c r="M383" s="1"/>
      <c r="N383" s="1"/>
    </row>
    <row r="384" spans="11:14" ht="15.5" hidden="1" customHeight="1" x14ac:dyDescent="0.2">
      <c r="K384" s="1"/>
      <c r="L384" s="1"/>
      <c r="M384" s="1"/>
      <c r="N384" s="1"/>
    </row>
    <row r="385" spans="11:14" ht="15.5" hidden="1" customHeight="1" x14ac:dyDescent="0.2">
      <c r="K385" s="1"/>
      <c r="L385" s="1"/>
      <c r="M385" s="1"/>
      <c r="N385" s="1"/>
    </row>
    <row r="386" spans="11:14" ht="15.5" hidden="1" customHeight="1" x14ac:dyDescent="0.2">
      <c r="K386" s="1"/>
      <c r="L386" s="1"/>
      <c r="M386" s="1"/>
      <c r="N386" s="1"/>
    </row>
    <row r="387" spans="11:14" ht="15.5" hidden="1" customHeight="1" x14ac:dyDescent="0.2">
      <c r="K387" s="1"/>
      <c r="L387" s="1"/>
      <c r="M387" s="1"/>
      <c r="N387" s="1"/>
    </row>
    <row r="388" spans="11:14" ht="15.5" hidden="1" customHeight="1" x14ac:dyDescent="0.2">
      <c r="K388" s="1"/>
      <c r="L388" s="1"/>
      <c r="M388" s="1"/>
      <c r="N388" s="1"/>
    </row>
    <row r="389" spans="11:14" ht="15.5" hidden="1" customHeight="1" x14ac:dyDescent="0.2">
      <c r="K389" s="1"/>
      <c r="L389" s="1"/>
      <c r="M389" s="1"/>
      <c r="N389" s="1"/>
    </row>
    <row r="390" spans="11:14" ht="15.5" hidden="1" customHeight="1" x14ac:dyDescent="0.2">
      <c r="K390" s="1"/>
      <c r="L390" s="1"/>
      <c r="M390" s="1"/>
      <c r="N390" s="1"/>
    </row>
    <row r="391" spans="11:14" ht="15.5" hidden="1" customHeight="1" x14ac:dyDescent="0.2">
      <c r="K391" s="1"/>
      <c r="L391" s="1"/>
      <c r="M391" s="1"/>
      <c r="N391" s="1"/>
    </row>
    <row r="392" spans="11:14" ht="15.5" hidden="1" customHeight="1" x14ac:dyDescent="0.2">
      <c r="K392" s="1"/>
      <c r="L392" s="1"/>
      <c r="M392" s="1"/>
      <c r="N392" s="1"/>
    </row>
    <row r="393" spans="11:14" ht="15.5" hidden="1" customHeight="1" x14ac:dyDescent="0.2">
      <c r="K393" s="1"/>
      <c r="L393" s="1"/>
      <c r="M393" s="1"/>
      <c r="N393" s="1"/>
    </row>
    <row r="394" spans="11:14" ht="15.5" hidden="1" customHeight="1" x14ac:dyDescent="0.2">
      <c r="K394" s="1"/>
      <c r="L394" s="1"/>
      <c r="M394" s="1"/>
      <c r="N394" s="1"/>
    </row>
    <row r="395" spans="11:14" ht="15.5" hidden="1" customHeight="1" x14ac:dyDescent="0.2">
      <c r="K395" s="1"/>
      <c r="L395" s="1"/>
      <c r="M395" s="1"/>
      <c r="N395" s="1"/>
    </row>
    <row r="396" spans="11:14" ht="15.5" hidden="1" customHeight="1" x14ac:dyDescent="0.2">
      <c r="K396" s="1"/>
      <c r="L396" s="1"/>
      <c r="M396" s="1"/>
      <c r="N396" s="1"/>
    </row>
    <row r="397" spans="11:14" ht="15.5" hidden="1" customHeight="1" x14ac:dyDescent="0.2">
      <c r="K397" s="1"/>
      <c r="L397" s="1"/>
      <c r="M397" s="1"/>
      <c r="N397" s="1"/>
    </row>
    <row r="398" spans="11:14" ht="15.5" hidden="1" customHeight="1" x14ac:dyDescent="0.2">
      <c r="K398" s="1"/>
      <c r="L398" s="1"/>
      <c r="M398" s="1"/>
      <c r="N398" s="1"/>
    </row>
    <row r="399" spans="11:14" ht="15.5" hidden="1" customHeight="1" x14ac:dyDescent="0.2">
      <c r="K399" s="1"/>
      <c r="L399" s="1"/>
      <c r="M399" s="1"/>
      <c r="N399" s="1"/>
    </row>
    <row r="400" spans="11:14" ht="15.5" hidden="1" customHeight="1" x14ac:dyDescent="0.2">
      <c r="K400" s="1"/>
      <c r="L400" s="1"/>
      <c r="M400" s="1"/>
      <c r="N400" s="1"/>
    </row>
    <row r="401" spans="11:14" ht="15.5" hidden="1" customHeight="1" x14ac:dyDescent="0.2">
      <c r="K401" s="1"/>
      <c r="L401" s="1"/>
      <c r="M401" s="1"/>
      <c r="N401" s="1"/>
    </row>
    <row r="402" spans="11:14" ht="15.5" hidden="1" customHeight="1" x14ac:dyDescent="0.2">
      <c r="K402" s="1"/>
      <c r="L402" s="1"/>
      <c r="M402" s="1"/>
      <c r="N402" s="1"/>
    </row>
    <row r="403" spans="11:14" ht="15.5" hidden="1" customHeight="1" x14ac:dyDescent="0.2">
      <c r="K403" s="1"/>
      <c r="L403" s="1"/>
      <c r="M403" s="1"/>
      <c r="N403" s="1"/>
    </row>
    <row r="404" spans="11:14" ht="15.5" hidden="1" customHeight="1" x14ac:dyDescent="0.2">
      <c r="K404" s="1"/>
      <c r="L404" s="1"/>
      <c r="M404" s="1"/>
      <c r="N404" s="1"/>
    </row>
    <row r="405" spans="11:14" ht="15.5" hidden="1" customHeight="1" x14ac:dyDescent="0.2">
      <c r="K405" s="1"/>
      <c r="L405" s="1"/>
      <c r="M405" s="1"/>
      <c r="N405" s="1"/>
    </row>
    <row r="406" spans="11:14" ht="15.5" hidden="1" customHeight="1" x14ac:dyDescent="0.2">
      <c r="K406" s="1"/>
      <c r="L406" s="1"/>
      <c r="M406" s="1"/>
      <c r="N406" s="1"/>
    </row>
    <row r="407" spans="11:14" ht="15.5" hidden="1" customHeight="1" x14ac:dyDescent="0.2">
      <c r="K407" s="1"/>
      <c r="L407" s="1"/>
      <c r="M407" s="1"/>
      <c r="N407" s="1"/>
    </row>
    <row r="408" spans="11:14" ht="15.5" hidden="1" customHeight="1" x14ac:dyDescent="0.2">
      <c r="K408" s="1"/>
      <c r="L408" s="1"/>
      <c r="M408" s="1"/>
      <c r="N408" s="1"/>
    </row>
    <row r="409" spans="11:14" ht="15.5" hidden="1" customHeight="1" x14ac:dyDescent="0.2">
      <c r="K409" s="1"/>
      <c r="L409" s="1"/>
      <c r="M409" s="1"/>
      <c r="N409" s="1"/>
    </row>
    <row r="410" spans="11:14" ht="15.5" hidden="1" customHeight="1" x14ac:dyDescent="0.2">
      <c r="K410" s="1"/>
      <c r="L410" s="1"/>
      <c r="M410" s="1"/>
      <c r="N410" s="1"/>
    </row>
    <row r="411" spans="11:14" ht="15.5" hidden="1" customHeight="1" x14ac:dyDescent="0.2">
      <c r="K411" s="1"/>
      <c r="L411" s="1"/>
      <c r="M411" s="1"/>
      <c r="N411" s="1"/>
    </row>
    <row r="412" spans="11:14" ht="15.5" hidden="1" customHeight="1" x14ac:dyDescent="0.2">
      <c r="K412" s="1"/>
      <c r="L412" s="1"/>
      <c r="M412" s="1"/>
      <c r="N412" s="1"/>
    </row>
    <row r="413" spans="11:14" ht="15.5" hidden="1" customHeight="1" x14ac:dyDescent="0.2">
      <c r="K413" s="1"/>
      <c r="L413" s="1"/>
      <c r="M413" s="1"/>
      <c r="N413" s="1"/>
    </row>
    <row r="414" spans="11:14" ht="15.5" hidden="1" customHeight="1" x14ac:dyDescent="0.2">
      <c r="K414" s="1"/>
      <c r="L414" s="1"/>
      <c r="M414" s="1"/>
      <c r="N414" s="1"/>
    </row>
    <row r="415" spans="11:14" ht="15.5" hidden="1" customHeight="1" x14ac:dyDescent="0.2">
      <c r="K415" s="1"/>
      <c r="L415" s="1"/>
      <c r="M415" s="1"/>
      <c r="N415" s="1"/>
    </row>
    <row r="416" spans="11:14" ht="15.5" hidden="1" customHeight="1" x14ac:dyDescent="0.2">
      <c r="K416" s="1"/>
      <c r="L416" s="1"/>
      <c r="M416" s="1"/>
      <c r="N416" s="1"/>
    </row>
    <row r="417" spans="11:14" ht="15.5" hidden="1" customHeight="1" x14ac:dyDescent="0.2">
      <c r="K417" s="1"/>
      <c r="L417" s="1"/>
      <c r="M417" s="1"/>
      <c r="N417" s="1"/>
    </row>
    <row r="418" spans="11:14" ht="15.5" hidden="1" customHeight="1" x14ac:dyDescent="0.2">
      <c r="K418" s="1"/>
      <c r="L418" s="1"/>
      <c r="M418" s="1"/>
      <c r="N418" s="1"/>
    </row>
    <row r="419" spans="11:14" ht="15.5" hidden="1" customHeight="1" x14ac:dyDescent="0.2">
      <c r="K419" s="1"/>
      <c r="L419" s="1"/>
      <c r="M419" s="1"/>
      <c r="N419" s="1"/>
    </row>
    <row r="420" spans="11:14" ht="15.5" hidden="1" customHeight="1" x14ac:dyDescent="0.2">
      <c r="K420" s="1"/>
      <c r="L420" s="1"/>
      <c r="M420" s="1"/>
      <c r="N420" s="1"/>
    </row>
    <row r="421" spans="11:14" ht="15.5" hidden="1" customHeight="1" x14ac:dyDescent="0.2">
      <c r="K421" s="1"/>
      <c r="L421" s="1"/>
      <c r="M421" s="1"/>
      <c r="N421" s="1"/>
    </row>
    <row r="422" spans="11:14" ht="15.5" hidden="1" customHeight="1" x14ac:dyDescent="0.2">
      <c r="K422" s="1"/>
      <c r="L422" s="1"/>
      <c r="M422" s="1"/>
      <c r="N422" s="1"/>
    </row>
    <row r="423" spans="11:14" ht="15.5" hidden="1" customHeight="1" x14ac:dyDescent="0.2">
      <c r="K423" s="1"/>
      <c r="L423" s="1"/>
      <c r="M423" s="1"/>
      <c r="N423" s="1"/>
    </row>
    <row r="424" spans="11:14" ht="15.5" hidden="1" customHeight="1" x14ac:dyDescent="0.2">
      <c r="K424" s="1"/>
      <c r="L424" s="1"/>
      <c r="M424" s="1"/>
      <c r="N424" s="1"/>
    </row>
    <row r="425" spans="11:14" ht="15.5" hidden="1" customHeight="1" x14ac:dyDescent="0.2">
      <c r="K425" s="1"/>
      <c r="L425" s="1"/>
      <c r="M425" s="1"/>
      <c r="N425" s="1"/>
    </row>
    <row r="426" spans="11:14" ht="15.5" hidden="1" customHeight="1" x14ac:dyDescent="0.2">
      <c r="K426" s="1"/>
      <c r="L426" s="1"/>
      <c r="M426" s="1"/>
      <c r="N426" s="1"/>
    </row>
    <row r="427" spans="11:14" ht="15.5" hidden="1" customHeight="1" x14ac:dyDescent="0.2">
      <c r="K427" s="1"/>
      <c r="L427" s="1"/>
      <c r="M427" s="1"/>
      <c r="N427" s="1"/>
    </row>
    <row r="428" spans="11:14" ht="15.5" hidden="1" customHeight="1" x14ac:dyDescent="0.2">
      <c r="K428" s="1"/>
      <c r="L428" s="1"/>
      <c r="M428" s="1"/>
      <c r="N428" s="1"/>
    </row>
    <row r="429" spans="11:14" ht="15.5" hidden="1" customHeight="1" x14ac:dyDescent="0.2">
      <c r="K429" s="1"/>
      <c r="L429" s="1"/>
      <c r="M429" s="1"/>
      <c r="N429" s="1"/>
    </row>
    <row r="430" spans="11:14" ht="15.5" hidden="1" customHeight="1" x14ac:dyDescent="0.2">
      <c r="K430" s="1"/>
      <c r="L430" s="1"/>
      <c r="M430" s="1"/>
      <c r="N430" s="1"/>
    </row>
    <row r="431" spans="11:14" ht="15.5" hidden="1" customHeight="1" x14ac:dyDescent="0.2">
      <c r="K431" s="1"/>
      <c r="L431" s="1"/>
      <c r="M431" s="1"/>
      <c r="N431" s="1"/>
    </row>
    <row r="432" spans="11:14" ht="15.5" hidden="1" customHeight="1" x14ac:dyDescent="0.2">
      <c r="K432" s="1"/>
      <c r="L432" s="1"/>
      <c r="M432" s="1"/>
      <c r="N432" s="1"/>
    </row>
    <row r="433" spans="11:14" ht="15.5" hidden="1" customHeight="1" x14ac:dyDescent="0.2">
      <c r="K433" s="1"/>
      <c r="L433" s="1"/>
      <c r="M433" s="1"/>
      <c r="N433" s="1"/>
    </row>
    <row r="434" spans="11:14" ht="15.5" hidden="1" customHeight="1" x14ac:dyDescent="0.2">
      <c r="K434" s="1"/>
      <c r="L434" s="1"/>
      <c r="M434" s="1"/>
      <c r="N434" s="1"/>
    </row>
    <row r="435" spans="11:14" ht="15.5" hidden="1" customHeight="1" x14ac:dyDescent="0.2">
      <c r="K435" s="1"/>
      <c r="L435" s="1"/>
      <c r="M435" s="1"/>
      <c r="N435" s="1"/>
    </row>
    <row r="436" spans="11:14" ht="15.5" hidden="1" customHeight="1" x14ac:dyDescent="0.2">
      <c r="K436" s="1"/>
      <c r="L436" s="1"/>
      <c r="M436" s="1"/>
      <c r="N436" s="1"/>
    </row>
    <row r="437" spans="11:14" ht="15.5" hidden="1" customHeight="1" x14ac:dyDescent="0.2">
      <c r="K437" s="1"/>
      <c r="L437" s="1"/>
      <c r="M437" s="1"/>
      <c r="N437" s="1"/>
    </row>
    <row r="438" spans="11:14" ht="15.5" hidden="1" customHeight="1" x14ac:dyDescent="0.2">
      <c r="K438" s="1"/>
      <c r="L438" s="1"/>
      <c r="M438" s="1"/>
      <c r="N438" s="1"/>
    </row>
    <row r="439" spans="11:14" ht="15.5" hidden="1" customHeight="1" x14ac:dyDescent="0.2">
      <c r="K439" s="1"/>
      <c r="L439" s="1"/>
      <c r="M439" s="1"/>
      <c r="N439" s="1"/>
    </row>
    <row r="440" spans="11:14" ht="15.5" hidden="1" customHeight="1" x14ac:dyDescent="0.2">
      <c r="K440" s="1"/>
      <c r="L440" s="1"/>
      <c r="M440" s="1"/>
      <c r="N440" s="1"/>
    </row>
    <row r="441" spans="11:14" ht="15.5" hidden="1" customHeight="1" x14ac:dyDescent="0.2">
      <c r="K441" s="1"/>
      <c r="L441" s="1"/>
      <c r="M441" s="1"/>
      <c r="N441" s="1"/>
    </row>
    <row r="442" spans="11:14" ht="15.5" hidden="1" customHeight="1" x14ac:dyDescent="0.2">
      <c r="K442" s="1"/>
      <c r="L442" s="1"/>
      <c r="M442" s="1"/>
      <c r="N442" s="1"/>
    </row>
    <row r="443" spans="11:14" ht="15.5" hidden="1" customHeight="1" x14ac:dyDescent="0.2">
      <c r="K443" s="1"/>
      <c r="L443" s="1"/>
      <c r="M443" s="1"/>
      <c r="N443" s="1"/>
    </row>
    <row r="444" spans="11:14" ht="15.5" hidden="1" customHeight="1" x14ac:dyDescent="0.2">
      <c r="K444" s="1"/>
      <c r="L444" s="1"/>
      <c r="M444" s="1"/>
      <c r="N444" s="1"/>
    </row>
    <row r="445" spans="11:14" ht="15.5" hidden="1" customHeight="1" x14ac:dyDescent="0.2">
      <c r="K445" s="1"/>
      <c r="L445" s="1"/>
      <c r="M445" s="1"/>
      <c r="N445" s="1"/>
    </row>
    <row r="446" spans="11:14" ht="15.5" hidden="1" customHeight="1" x14ac:dyDescent="0.2">
      <c r="K446" s="1"/>
      <c r="L446" s="1"/>
      <c r="M446" s="1"/>
      <c r="N446" s="1"/>
    </row>
    <row r="447" spans="11:14" ht="15.5" hidden="1" customHeight="1" x14ac:dyDescent="0.2">
      <c r="K447" s="1"/>
      <c r="L447" s="1"/>
      <c r="M447" s="1"/>
      <c r="N447" s="1"/>
    </row>
    <row r="448" spans="11:14" ht="15.5" hidden="1" customHeight="1" x14ac:dyDescent="0.2">
      <c r="K448" s="1"/>
      <c r="L448" s="1"/>
      <c r="M448" s="1"/>
      <c r="N448" s="1"/>
    </row>
    <row r="449" spans="11:14" ht="15.5" hidden="1" customHeight="1" x14ac:dyDescent="0.2">
      <c r="K449" s="1"/>
      <c r="L449" s="1"/>
      <c r="M449" s="1"/>
      <c r="N449" s="1"/>
    </row>
    <row r="450" spans="11:14" ht="15.5" hidden="1" customHeight="1" x14ac:dyDescent="0.2">
      <c r="K450" s="1"/>
      <c r="L450" s="1"/>
      <c r="M450" s="1"/>
      <c r="N450" s="1"/>
    </row>
    <row r="451" spans="11:14" ht="15.5" hidden="1" customHeight="1" x14ac:dyDescent="0.2">
      <c r="K451" s="1"/>
      <c r="L451" s="1"/>
      <c r="M451" s="1"/>
      <c r="N451" s="1"/>
    </row>
    <row r="452" spans="11:14" ht="15.5" hidden="1" customHeight="1" x14ac:dyDescent="0.2">
      <c r="K452" s="1"/>
      <c r="L452" s="1"/>
      <c r="M452" s="1"/>
      <c r="N452" s="1"/>
    </row>
    <row r="453" spans="11:14" ht="15.5" hidden="1" customHeight="1" x14ac:dyDescent="0.2">
      <c r="K453" s="1"/>
      <c r="L453" s="1"/>
      <c r="M453" s="1"/>
      <c r="N453" s="1"/>
    </row>
    <row r="454" spans="11:14" ht="15.5" hidden="1" customHeight="1" x14ac:dyDescent="0.2">
      <c r="K454" s="1"/>
      <c r="L454" s="1"/>
      <c r="M454" s="1"/>
      <c r="N454" s="1"/>
    </row>
    <row r="455" spans="11:14" ht="15.5" hidden="1" customHeight="1" x14ac:dyDescent="0.2">
      <c r="K455" s="1"/>
      <c r="L455" s="1"/>
      <c r="M455" s="1"/>
      <c r="N455" s="1"/>
    </row>
    <row r="456" spans="11:14" ht="15.5" hidden="1" customHeight="1" x14ac:dyDescent="0.2">
      <c r="K456" s="1"/>
      <c r="L456" s="1"/>
      <c r="M456" s="1"/>
      <c r="N456" s="1"/>
    </row>
    <row r="457" spans="11:14" ht="15.5" hidden="1" customHeight="1" x14ac:dyDescent="0.2">
      <c r="K457" s="1"/>
      <c r="L457" s="1"/>
      <c r="M457" s="1"/>
      <c r="N457" s="1"/>
    </row>
    <row r="458" spans="11:14" ht="15.5" hidden="1" customHeight="1" x14ac:dyDescent="0.2">
      <c r="K458" s="1"/>
      <c r="L458" s="1"/>
      <c r="M458" s="1"/>
      <c r="N458" s="1"/>
    </row>
    <row r="459" spans="11:14" ht="15.5" hidden="1" customHeight="1" x14ac:dyDescent="0.2">
      <c r="K459" s="1"/>
      <c r="L459" s="1"/>
      <c r="M459" s="1"/>
      <c r="N459" s="1"/>
    </row>
    <row r="460" spans="11:14" ht="15.5" hidden="1" customHeight="1" x14ac:dyDescent="0.2">
      <c r="K460" s="1"/>
      <c r="L460" s="1"/>
      <c r="M460" s="1"/>
      <c r="N460" s="1"/>
    </row>
    <row r="461" spans="11:14" ht="15.5" hidden="1" customHeight="1" x14ac:dyDescent="0.2">
      <c r="K461" s="1"/>
      <c r="L461" s="1"/>
      <c r="M461" s="1"/>
      <c r="N461" s="1"/>
    </row>
    <row r="462" spans="11:14" ht="15.5" hidden="1" customHeight="1" x14ac:dyDescent="0.2">
      <c r="K462" s="1"/>
      <c r="L462" s="1"/>
      <c r="M462" s="1"/>
      <c r="N462" s="1"/>
    </row>
    <row r="463" spans="11:14" ht="15.5" hidden="1" customHeight="1" x14ac:dyDescent="0.2">
      <c r="K463" s="1"/>
      <c r="L463" s="1"/>
      <c r="M463" s="1"/>
      <c r="N463" s="1"/>
    </row>
    <row r="464" spans="11:14" ht="15.5" hidden="1" customHeight="1" x14ac:dyDescent="0.2">
      <c r="K464" s="1"/>
      <c r="L464" s="1"/>
      <c r="M464" s="1"/>
      <c r="N464" s="1"/>
    </row>
    <row r="465" spans="11:14" ht="15.5" hidden="1" customHeight="1" x14ac:dyDescent="0.2">
      <c r="K465" s="1"/>
      <c r="L465" s="1"/>
      <c r="M465" s="1"/>
      <c r="N465" s="1"/>
    </row>
    <row r="466" spans="11:14" ht="15.5" hidden="1" customHeight="1" x14ac:dyDescent="0.2">
      <c r="K466" s="1"/>
      <c r="L466" s="1"/>
      <c r="M466" s="1"/>
      <c r="N466" s="1"/>
    </row>
    <row r="467" spans="11:14" ht="15.5" hidden="1" customHeight="1" x14ac:dyDescent="0.2">
      <c r="K467" s="1"/>
      <c r="L467" s="1"/>
      <c r="M467" s="1"/>
      <c r="N467" s="1"/>
    </row>
    <row r="468" spans="11:14" ht="15.5" hidden="1" customHeight="1" x14ac:dyDescent="0.2">
      <c r="K468" s="1"/>
      <c r="L468" s="1"/>
      <c r="M468" s="1"/>
      <c r="N468" s="1"/>
    </row>
    <row r="469" spans="11:14" ht="15.5" hidden="1" customHeight="1" x14ac:dyDescent="0.2">
      <c r="K469" s="1"/>
      <c r="L469" s="1"/>
      <c r="M469" s="1"/>
      <c r="N469" s="1"/>
    </row>
    <row r="470" spans="11:14" ht="15.5" hidden="1" customHeight="1" x14ac:dyDescent="0.2">
      <c r="K470" s="1"/>
      <c r="L470" s="1"/>
      <c r="M470" s="1"/>
      <c r="N470" s="1"/>
    </row>
    <row r="471" spans="11:14" ht="15.5" hidden="1" customHeight="1" x14ac:dyDescent="0.2">
      <c r="K471" s="1"/>
      <c r="L471" s="1"/>
      <c r="M471" s="1"/>
      <c r="N471" s="1"/>
    </row>
    <row r="472" spans="11:14" ht="15.5" hidden="1" customHeight="1" x14ac:dyDescent="0.2">
      <c r="K472" s="1"/>
      <c r="L472" s="1"/>
      <c r="M472" s="1"/>
      <c r="N472" s="1"/>
    </row>
    <row r="473" spans="11:14" ht="15.5" hidden="1" customHeight="1" x14ac:dyDescent="0.2">
      <c r="K473" s="1"/>
      <c r="L473" s="1"/>
      <c r="M473" s="1"/>
      <c r="N473" s="1"/>
    </row>
    <row r="474" spans="11:14" ht="15.5" hidden="1" customHeight="1" x14ac:dyDescent="0.2">
      <c r="K474" s="1"/>
      <c r="L474" s="1"/>
      <c r="M474" s="1"/>
      <c r="N474" s="1"/>
    </row>
    <row r="475" spans="11:14" ht="15.5" hidden="1" customHeight="1" x14ac:dyDescent="0.2">
      <c r="K475" s="1"/>
      <c r="L475" s="1"/>
      <c r="M475" s="1"/>
      <c r="N475" s="1"/>
    </row>
    <row r="476" spans="11:14" ht="15.5" hidden="1" customHeight="1" x14ac:dyDescent="0.2">
      <c r="K476" s="1"/>
      <c r="L476" s="1"/>
      <c r="M476" s="1"/>
      <c r="N476" s="1"/>
    </row>
    <row r="477" spans="11:14" ht="15.5" hidden="1" customHeight="1" x14ac:dyDescent="0.2">
      <c r="K477" s="1"/>
      <c r="L477" s="1"/>
      <c r="M477" s="1"/>
      <c r="N477" s="1"/>
    </row>
    <row r="478" spans="11:14" ht="15.5" hidden="1" customHeight="1" x14ac:dyDescent="0.2">
      <c r="K478" s="1"/>
      <c r="L478" s="1"/>
      <c r="M478" s="1"/>
      <c r="N478" s="1"/>
    </row>
    <row r="479" spans="11:14" ht="15.5" hidden="1" customHeight="1" x14ac:dyDescent="0.2">
      <c r="K479" s="1"/>
      <c r="L479" s="1"/>
      <c r="M479" s="1"/>
      <c r="N479" s="1"/>
    </row>
    <row r="480" spans="11:14" ht="15.5" hidden="1" customHeight="1" x14ac:dyDescent="0.2">
      <c r="K480" s="1"/>
      <c r="L480" s="1"/>
      <c r="M480" s="1"/>
      <c r="N480" s="1"/>
    </row>
    <row r="481" spans="11:14" ht="15.5" hidden="1" customHeight="1" x14ac:dyDescent="0.2">
      <c r="K481" s="1"/>
      <c r="L481" s="1"/>
      <c r="M481" s="1"/>
      <c r="N481" s="1"/>
    </row>
    <row r="482" spans="11:14" ht="15.5" hidden="1" customHeight="1" x14ac:dyDescent="0.2">
      <c r="K482" s="1"/>
      <c r="L482" s="1"/>
      <c r="M482" s="1"/>
      <c r="N482" s="1"/>
    </row>
    <row r="483" spans="11:14" ht="15.5" hidden="1" customHeight="1" x14ac:dyDescent="0.2">
      <c r="K483" s="1"/>
      <c r="L483" s="1"/>
      <c r="M483" s="1"/>
      <c r="N483" s="1"/>
    </row>
    <row r="484" spans="11:14" ht="15.5" hidden="1" customHeight="1" x14ac:dyDescent="0.2">
      <c r="K484" s="1"/>
      <c r="L484" s="1"/>
      <c r="M484" s="1"/>
      <c r="N484" s="1"/>
    </row>
    <row r="485" spans="11:14" ht="15.5" hidden="1" customHeight="1" x14ac:dyDescent="0.2">
      <c r="K485" s="1"/>
      <c r="L485" s="1"/>
      <c r="M485" s="1"/>
      <c r="N485" s="1"/>
    </row>
    <row r="486" spans="11:14" ht="15.5" hidden="1" customHeight="1" x14ac:dyDescent="0.2">
      <c r="K486" s="1"/>
      <c r="L486" s="1"/>
      <c r="M486" s="1"/>
      <c r="N486" s="1"/>
    </row>
    <row r="487" spans="11:14" ht="15.5" hidden="1" customHeight="1" x14ac:dyDescent="0.2">
      <c r="K487" s="1"/>
      <c r="L487" s="1"/>
      <c r="M487" s="1"/>
      <c r="N487" s="1"/>
    </row>
    <row r="488" spans="11:14" ht="15.5" hidden="1" customHeight="1" x14ac:dyDescent="0.2">
      <c r="K488" s="1"/>
      <c r="L488" s="1"/>
      <c r="M488" s="1"/>
      <c r="N488" s="1"/>
    </row>
    <row r="489" spans="11:14" ht="15.5" hidden="1" customHeight="1" x14ac:dyDescent="0.2">
      <c r="K489" s="1"/>
      <c r="L489" s="1"/>
      <c r="M489" s="1"/>
      <c r="N489" s="1"/>
    </row>
    <row r="490" spans="11:14" ht="15.5" hidden="1" customHeight="1" x14ac:dyDescent="0.2">
      <c r="K490" s="1"/>
      <c r="L490" s="1"/>
      <c r="M490" s="1"/>
      <c r="N490" s="1"/>
    </row>
    <row r="491" spans="11:14" ht="15.5" hidden="1" customHeight="1" x14ac:dyDescent="0.2">
      <c r="K491" s="1"/>
      <c r="L491" s="1"/>
      <c r="M491" s="1"/>
      <c r="N491" s="1"/>
    </row>
    <row r="492" spans="11:14" ht="15.5" hidden="1" customHeight="1" x14ac:dyDescent="0.2">
      <c r="K492" s="1"/>
      <c r="L492" s="1"/>
      <c r="M492" s="1"/>
      <c r="N492" s="1"/>
    </row>
    <row r="493" spans="11:14" ht="15.5" hidden="1" customHeight="1" x14ac:dyDescent="0.2">
      <c r="K493" s="1"/>
      <c r="L493" s="1"/>
      <c r="M493" s="1"/>
      <c r="N493" s="1"/>
    </row>
    <row r="494" spans="11:14" ht="15.5" hidden="1" customHeight="1" x14ac:dyDescent="0.2">
      <c r="K494" s="1"/>
      <c r="L494" s="1"/>
      <c r="M494" s="1"/>
      <c r="N494" s="1"/>
    </row>
    <row r="495" spans="11:14" ht="15.5" hidden="1" customHeight="1" x14ac:dyDescent="0.2">
      <c r="K495" s="1"/>
      <c r="L495" s="1"/>
      <c r="M495" s="1"/>
      <c r="N495" s="1"/>
    </row>
    <row r="496" spans="11:14" ht="15.5" hidden="1" customHeight="1" x14ac:dyDescent="0.2">
      <c r="K496" s="1"/>
      <c r="L496" s="1"/>
      <c r="M496" s="1"/>
      <c r="N496" s="1"/>
    </row>
    <row r="497" spans="11:14" ht="15.5" hidden="1" customHeight="1" x14ac:dyDescent="0.2">
      <c r="K497" s="1"/>
      <c r="L497" s="1"/>
      <c r="M497" s="1"/>
      <c r="N497" s="1"/>
    </row>
    <row r="498" spans="11:14" ht="15.5" hidden="1" customHeight="1" x14ac:dyDescent="0.2">
      <c r="K498" s="1"/>
      <c r="L498" s="1"/>
      <c r="M498" s="1"/>
      <c r="N498" s="1"/>
    </row>
    <row r="499" spans="11:14" ht="15.5" hidden="1" customHeight="1" x14ac:dyDescent="0.2">
      <c r="K499" s="1"/>
      <c r="L499" s="1"/>
      <c r="M499" s="1"/>
      <c r="N499" s="1"/>
    </row>
    <row r="500" spans="11:14" ht="15.5" hidden="1" customHeight="1" x14ac:dyDescent="0.2">
      <c r="K500" s="1"/>
      <c r="L500" s="1"/>
      <c r="M500" s="1"/>
      <c r="N500" s="1"/>
    </row>
  </sheetData>
  <sheetProtection algorithmName="SHA-512" hashValue="ohQxWw2a+qAjh+9E6haW2NFXqxv3FM8a+ceGIOuWk9cUUWnty3ifJ6vuN8n8c5bu4959it5gQ8X+ij4NFhRHmQ==" saltValue="GE5/wl63byyJivnreJ8YGQ==" spinCount="100000" sheet="1" objects="1" scenarios="1"/>
  <dataValidations count="1">
    <dataValidation type="list" allowBlank="1" showInputMessage="1" showErrorMessage="1" sqref="V6" xr:uid="{375AD17C-68DA-4E1E-B5FB-14D1D64E9A55}">
      <formula1>"Sim, Não"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2</xdr:col>
                    <xdr:colOff>228600</xdr:colOff>
                    <xdr:row>4</xdr:row>
                    <xdr:rowOff>101600</xdr:rowOff>
                  </from>
                  <to>
                    <xdr:col>2</xdr:col>
                    <xdr:colOff>228600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7</xdr:col>
                    <xdr:colOff>228600</xdr:colOff>
                    <xdr:row>4</xdr:row>
                    <xdr:rowOff>101600</xdr:rowOff>
                  </from>
                  <to>
                    <xdr:col>7</xdr:col>
                    <xdr:colOff>228600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Check Box 3">
              <controlPr defaultSize="0" autoFill="0" autoLine="0" autoPict="0">
                <anchor moveWithCells="1">
                  <from>
                    <xdr:col>10</xdr:col>
                    <xdr:colOff>127000</xdr:colOff>
                    <xdr:row>4</xdr:row>
                    <xdr:rowOff>101600</xdr:rowOff>
                  </from>
                  <to>
                    <xdr:col>11</xdr:col>
                    <xdr:colOff>0</xdr:colOff>
                    <xdr:row>6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heck Box 4">
              <controlPr defaultSize="0" autoFill="0" autoLine="0" autoPict="0">
                <anchor moveWithCells="1">
                  <from>
                    <xdr:col>2</xdr:col>
                    <xdr:colOff>215900</xdr:colOff>
                    <xdr:row>4</xdr:row>
                    <xdr:rowOff>88900</xdr:rowOff>
                  </from>
                  <to>
                    <xdr:col>2</xdr:col>
                    <xdr:colOff>546100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heck Box 5">
              <controlPr defaultSize="0" autoFill="0" autoLine="0" autoPict="0">
                <anchor moveWithCells="1">
                  <from>
                    <xdr:col>7</xdr:col>
                    <xdr:colOff>215900</xdr:colOff>
                    <xdr:row>4</xdr:row>
                    <xdr:rowOff>88900</xdr:rowOff>
                  </from>
                  <to>
                    <xdr:col>7</xdr:col>
                    <xdr:colOff>546100</xdr:colOff>
                    <xdr:row>6</xdr:row>
                    <xdr:rowOff>63500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8" name="Check Box 6">
              <controlPr defaultSize="0" autoFill="0" autoLine="0" autoPict="0">
                <anchor moveWithCells="1">
                  <from>
                    <xdr:col>8</xdr:col>
                    <xdr:colOff>2133600</xdr:colOff>
                    <xdr:row>4</xdr:row>
                    <xdr:rowOff>88900</xdr:rowOff>
                  </from>
                  <to>
                    <xdr:col>16</xdr:col>
                    <xdr:colOff>190500</xdr:colOff>
                    <xdr:row>6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3DAFD6-3143-4A5E-8854-B4C0BD92EEFB}">
  <sheetPr codeName="Planilha6">
    <tabColor rgb="FF0070C0"/>
  </sheetPr>
  <dimension ref="A1:Z501"/>
  <sheetViews>
    <sheetView showGridLines="0" showRowColHeaders="0" zoomScaleNormal="100" workbookViewId="0">
      <selection activeCell="B7" sqref="B7"/>
    </sheetView>
  </sheetViews>
  <sheetFormatPr baseColWidth="10" defaultColWidth="0" defaultRowHeight="16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4" width="9.5" style="6" hidden="1" customWidth="1"/>
    <col min="25" max="25" width="11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5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67"/>
      <c r="L11" s="77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86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8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>IF(P26="","",IF(SUMIF($N$6:$N$500,P26,$L$6:$L$500)+SUMIF($I$6:$I$103,P26,$G$6:$G$103)=0,"",SUMIF($N$6:$N$500,P26,$L$6:$L$500)+SUMIF($I$6:$I$103,P26,$G$6:$G$103)))</f>
        <v/>
      </c>
      <c r="Y26" s="8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8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8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94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94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mkeZRy98kqpO/oaHC/T2epwpIAFTYPGqMxorjhoa92x2yc4rAmqnYSt+7S9gDXD2JU2Shy97CZpYO4w+hVl9VA==" saltValue="U5tfoWDgl0iL/UTxVbC1+w==" spinCount="100000" sheet="1" objects="1" scenarios="1"/>
  <conditionalFormatting sqref="H6:H102">
    <cfRule type="cellIs" dxfId="237" priority="1" operator="equal">
      <formula>"-"</formula>
    </cfRule>
  </conditionalFormatting>
  <dataValidations count="2">
    <dataValidation type="list" allowBlank="1" showInputMessage="1" showErrorMessage="1" sqref="H6:H200 I104:I200" xr:uid="{3048A247-04F7-4A3E-953F-3106ADCA5C05}">
      <formula1>"sim, -"</formula1>
    </dataValidation>
    <dataValidation type="list" allowBlank="1" showInputMessage="1" showErrorMessage="1" sqref="R6" xr:uid="{3A8B1653-4EB8-43F5-B795-B24667744F19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A932000-92B0-4E70-9959-D10D1D7DEE8E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8E75EDD0-4814-4B53-93DF-E8C173D74185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A019D731-F9E7-41E2-99E7-26E0DC55C085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6E6BD-8C53-4D49-A319-9BCB8D2541E2}">
  <sheetPr codeName="Planilha7">
    <tabColor rgb="FF0070C0"/>
  </sheetPr>
  <dimension ref="A1:Z501"/>
  <sheetViews>
    <sheetView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4" width="9.5" style="6" hidden="1" customWidth="1"/>
    <col min="25" max="25" width="11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67"/>
      <c r="L11" s="77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u9dmHFBHmZt1aPASv8wxdGtWxfQF5TQeYQGOp5g1U3NSaZAuQUNi0W3hk0YoR3kqXMNYs81Ll0oXbU/DqzoFeA==" saltValue="NG9qyPvlGN8s8emAvaJ6DA==" spinCount="100000" sheet="1" objects="1" scenarios="1"/>
  <conditionalFormatting sqref="H6:H102">
    <cfRule type="cellIs" dxfId="217" priority="1" operator="equal">
      <formula>"-"</formula>
    </cfRule>
  </conditionalFormatting>
  <dataValidations count="2">
    <dataValidation type="list" allowBlank="1" showInputMessage="1" showErrorMessage="1" sqref="R6" xr:uid="{4BA509F0-845B-42DA-B763-B5EFDDA8AB88}">
      <formula1>"1, 2, 3, 4, 5, 6, 7, 8, 9, 10, 11, 12"</formula1>
    </dataValidation>
    <dataValidation type="list" allowBlank="1" showInputMessage="1" showErrorMessage="1" sqref="H6:H200 I104:I200" xr:uid="{E0EF767C-0C6D-4A7A-AA10-666DD61E349C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F64129-3A10-44A7-B23A-43C78086E0D4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1C894297-BD44-4155-B040-56A23D10E2BE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92F37055-282B-479E-A5CA-89D797CFBA3E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B966C-E7F1-44DC-8DA9-C8252776E048}">
  <sheetPr codeName="Planilha8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72"/>
      <c r="L12" s="173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CB7dKhAcCTqLE01yaKNZeM3xafV7Al3wbqPkhxSCxQ7/9XE5WrZa4D+R4eLbkMlqLU7jLG8aJGPvobsdwnM3bw==" saltValue="GHo3JZPAhx6gGAsMOrrU1A==" spinCount="100000" sheet="1" objects="1" scenarios="1"/>
  <conditionalFormatting sqref="H6:H102">
    <cfRule type="cellIs" dxfId="207" priority="1" operator="equal">
      <formula>"-"</formula>
    </cfRule>
  </conditionalFormatting>
  <dataValidations count="2">
    <dataValidation type="list" allowBlank="1" showInputMessage="1" showErrorMessage="1" sqref="H6:H200 I104:I200" xr:uid="{C81281B6-4F43-4DD8-A569-55C92DDB4F07}">
      <formula1>"sim, -"</formula1>
    </dataValidation>
    <dataValidation type="list" allowBlank="1" showInputMessage="1" showErrorMessage="1" sqref="R6" xr:uid="{93FB9075-07DF-441D-824F-5BDE190FFC66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515371E-69CA-4BEA-B544-72DAAD0A7457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5569FE41-BD18-4C55-A2B9-0CC45772F472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DED423ED-20AE-4DBD-AC2B-87E0453081CF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8C3738-A5E0-430A-8EBA-1D09E7AF83D6}">
  <sheetPr codeName="Planilha9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67"/>
      <c r="L11" s="77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Moi0W5OqCXjrmnZncrzG23Yg7PgTaXAd1E88Tz5Ou2cLDX/dmjRlFYxTdeeCDkx17PQNsVfABFOHA9uCBI2ftQ==" saltValue="Y05zt39capr5yJFYvySGzg==" spinCount="100000" sheet="1" objects="1" scenarios="1"/>
  <conditionalFormatting sqref="H6:H102">
    <cfRule type="cellIs" dxfId="187" priority="1" operator="equal">
      <formula>"-"</formula>
    </cfRule>
  </conditionalFormatting>
  <dataValidations count="2">
    <dataValidation type="list" allowBlank="1" showInputMessage="1" showErrorMessage="1" sqref="R6" xr:uid="{15C087F6-1C5F-4A74-9A22-38703CF720A4}">
      <formula1>"1, 2, 3, 4, 5, 6, 7, 8, 9, 10, 11, 12"</formula1>
    </dataValidation>
    <dataValidation type="list" allowBlank="1" showInputMessage="1" showErrorMessage="1" sqref="H6:H200 I104:I200" xr:uid="{81E7061F-E984-4B51-B34D-94E770BDB41D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77D1CC-BE51-4A47-A8CB-00AB8398DE3D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832355AD-79AA-41C0-A7BC-85273ADFC49F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2324F373-921C-4088-9E76-D462EA13C2D0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BD62E-5081-423D-93B5-D493830C29FD}">
  <sheetPr codeName="Planilha10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XYe0cw4iYq7+230uZjeSEsWh5x+02Lxva/B8iw2jrA4uCV8406yFjDiz/x2O1QlsjCQgykSMnzmxtzmzN1xhog==" saltValue="Q0OsBrsIJ4Q0THsMVxFwfA==" spinCount="100000" sheet="1" objects="1" scenarios="1"/>
  <conditionalFormatting sqref="H6:H102">
    <cfRule type="cellIs" dxfId="167" priority="1" operator="equal">
      <formula>"-"</formula>
    </cfRule>
  </conditionalFormatting>
  <dataValidations count="2">
    <dataValidation type="list" allowBlank="1" showInputMessage="1" showErrorMessage="1" sqref="H6:H200 I104:I200" xr:uid="{44060942-D0B6-4144-BE12-E25B92966E43}">
      <formula1>"sim, -"</formula1>
    </dataValidation>
    <dataValidation type="list" allowBlank="1" showInputMessage="1" showErrorMessage="1" sqref="R6" xr:uid="{A8513286-A3EF-4B17-8FD0-160D13410AB9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3668AEC-C76D-47A0-8E5F-75C16602ACD7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24377B3B-1980-494B-A986-BB93E05A4ECA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E3DDBB63-2DBA-4741-A444-66EFDD55C201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EDB-466A-3640-A01E-3B8FCD7FBBBA}">
  <sheetPr codeName="Planilha11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NmAkGzm9DB/O9PuANCfZWqx0T8YUhzXab437z1Vf1qniKPDYusAJNRkW9l5TyIdI0H3RTsas0R6+CKpSxdEEhg==" saltValue="rl5NanqeJXd4eFwHpa1Umg==" spinCount="100000" sheet="1" objects="1" scenarios="1"/>
  <conditionalFormatting sqref="H6:H102">
    <cfRule type="cellIs" dxfId="151" priority="1" operator="equal">
      <formula>"-"</formula>
    </cfRule>
  </conditionalFormatting>
  <dataValidations count="2">
    <dataValidation type="list" allowBlank="1" showInputMessage="1" showErrorMessage="1" sqref="R6" xr:uid="{4D4BE284-B9A6-E04F-AD42-AC92CB6C1B97}">
      <formula1>"1, 2, 3, 4, 5, 6, 7, 8, 9, 10, 11, 12"</formula1>
    </dataValidation>
    <dataValidation type="list" allowBlank="1" showInputMessage="1" showErrorMessage="1" sqref="H6:H200 I104:I200" xr:uid="{AB25706E-0018-BB4A-940D-55569CA0BAAE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82857A4-3CD3-0C4D-B039-AE079ABD0071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F60ECCB2-4833-DF4F-B8A8-99537FDE57EA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90602B47-3181-2549-8322-29180E7E555A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5C485-13D4-F247-B91D-1F950DD406E8}">
  <sheetPr codeName="Planilha12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fZDFcc2hzuVAB2tyWsLn1brHoFNVKV5olydEDwa2NWWfqcvImHSGge/BS/Pdbkl6hQQGL95R6w7DLdOMtIaFNg==" saltValue="h+pPedx70mozdkHagHcxZA==" spinCount="100000" sheet="1" objects="1" scenarios="1"/>
  <conditionalFormatting sqref="H6:H102">
    <cfRule type="cellIs" dxfId="131" priority="1" operator="equal">
      <formula>"-"</formula>
    </cfRule>
  </conditionalFormatting>
  <dataValidations count="2">
    <dataValidation type="list" allowBlank="1" showInputMessage="1" showErrorMessage="1" sqref="H6:H200 I104:I200" xr:uid="{AB2C3B9B-CCF3-0E48-AD13-E6EB9602EF23}">
      <formula1>"sim, -"</formula1>
    </dataValidation>
    <dataValidation type="list" allowBlank="1" showInputMessage="1" showErrorMessage="1" sqref="R6" xr:uid="{A9703751-9309-7446-A3E1-5A0E0B659050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8F655F2-6648-5F4C-BE5A-4D1506086D4E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A70D3603-66F3-F04D-B6A1-36A3B442C40C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6F1C09DD-A682-694E-961A-D1A879829F18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EE176-2D60-8E45-A6B7-3C4B87E18A31}">
  <sheetPr codeName="Planilha13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ZzhnkdS6S4mg10xBjUy1ZbwjtDs4U+o3K6vHkssAesleKEQTByZ4koI1IAyBhE2gs3Q/zoPQdAJWM3eQjRidfg==" saltValue="BkO4br4LIWUZNV62fC1h6A==" spinCount="100000" sheet="1" objects="1" scenarios="1"/>
  <conditionalFormatting sqref="H6:H102">
    <cfRule type="cellIs" dxfId="111" priority="1" operator="equal">
      <formula>"-"</formula>
    </cfRule>
  </conditionalFormatting>
  <dataValidations count="2">
    <dataValidation type="list" allowBlank="1" showInputMessage="1" showErrorMessage="1" sqref="R6" xr:uid="{275D0E67-8687-9A4C-9DF3-3F19F66C9DEE}">
      <formula1>"1, 2, 3, 4, 5, 6, 7, 8, 9, 10, 11, 12"</formula1>
    </dataValidation>
    <dataValidation type="list" allowBlank="1" showInputMessage="1" showErrorMessage="1" sqref="H6:H200 I104:I200" xr:uid="{96AD0CC8-201E-2E4D-81B7-FC709AA15C54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8B6A4E6-BDA3-A94C-B2DA-EBF1B94553F4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44828C88-6422-B649-A8EF-42515977A260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B9A7F288-ED1D-7946-B09D-5BC38F0D0983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7D1DE1-BC8A-3644-A11E-EA88128071A2}">
  <sheetPr codeName="Planilha14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HqFPp0NEXaNXy1vjyQ2KGsuHBaDNNsprFI0K/IsaH6DaoFstqEixJDEOBq13fZzuXttNqN+jwhYM9A3oJcV5Ag==" saltValue="ERDnx633D/iJE8fG4HMhpQ==" spinCount="100000" sheet="1" objects="1" scenarios="1"/>
  <conditionalFormatting sqref="H6:H102">
    <cfRule type="cellIs" dxfId="91" priority="1" operator="equal">
      <formula>"-"</formula>
    </cfRule>
  </conditionalFormatting>
  <dataValidations count="2">
    <dataValidation type="list" allowBlank="1" showInputMessage="1" showErrorMessage="1" sqref="H6:H200 I104:I200" xr:uid="{FF3BAFE3-150F-6841-BB56-4F05228672C4}">
      <formula1>"sim, -"</formula1>
    </dataValidation>
    <dataValidation type="list" allowBlank="1" showInputMessage="1" showErrorMessage="1" sqref="R6" xr:uid="{75F69569-8297-2947-A5E9-5CAD9340C4FD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BC206ED-360D-214C-9A1D-847C425758C0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6FD2C5C0-B27C-5443-8B9A-CAD678888CF6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B138AEEE-6C5D-5F47-8BB0-8A0C6AC9A1EA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ABCF-101A-AC4B-B4F2-2384B75631B8}">
  <sheetPr codeName="Planilha15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/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k/dx6drp+t8B2m2qNCHirXKiV/5UjC7yNq80djLhekVJ7T1U+uxkzMXpNIMKGNWTCr/eZMFHjXEY489ts5pwLQ==" saltValue="e7x7z2oCVagvkxPDSA7vnQ==" spinCount="100000" sheet="1" objects="1" scenarios="1"/>
  <conditionalFormatting sqref="H6:H102">
    <cfRule type="cellIs" dxfId="71" priority="1" operator="equal">
      <formula>"-"</formula>
    </cfRule>
  </conditionalFormatting>
  <dataValidations count="2">
    <dataValidation type="list" allowBlank="1" showInputMessage="1" showErrorMessage="1" sqref="R6" xr:uid="{25024BFA-6A3D-024E-8F90-0CBE51CCF1A3}">
      <formula1>"1, 2, 3, 4, 5, 6, 7, 8, 9, 10, 11, 12"</formula1>
    </dataValidation>
    <dataValidation type="list" allowBlank="1" showInputMessage="1" showErrorMessage="1" sqref="H6:H200 I104:I200" xr:uid="{132D24EB-52AA-A240-B5C0-AD1E16421589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5DDB99B-E468-1840-B924-EFD05BFBDB04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40152137-D1A9-B641-A439-01677C182BBB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0E058BE9-CC61-A24D-896C-C7CD1D42590E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E643F-3598-F649-BD39-F2773D8C9C4D}">
  <sheetPr codeName="Planilha16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 t="s">
        <v>164</v>
      </c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tGJQeUvb2CLJWJpb6odjix/y0lRr781Dh/OoxCcnyheHCsF3i9Qo56bJ/Oda0uDZSB4n8Nta1lpXKRpmcvqM7A==" saltValue="i6cGkBTSrXfr4jejlIEOUA==" spinCount="100000" sheet="1" objects="1" scenarios="1"/>
  <conditionalFormatting sqref="H6:H102">
    <cfRule type="cellIs" dxfId="51" priority="1" operator="equal">
      <formula>"-"</formula>
    </cfRule>
  </conditionalFormatting>
  <dataValidations count="2">
    <dataValidation type="list" allowBlank="1" showInputMessage="1" showErrorMessage="1" sqref="H6:H200 I104:I200" xr:uid="{6B2ED71D-EDA9-764F-A2A7-C69D1016D9FF}">
      <formula1>"sim, -"</formula1>
    </dataValidation>
    <dataValidation type="list" allowBlank="1" showInputMessage="1" showErrorMessage="1" sqref="R6" xr:uid="{1F0F73CC-4E90-544C-9A93-9750F2033177}">
      <formula1>"1, 2, 3, 4, 5, 6, 7, 8, 9, 10, 11, 12"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3E9697C-1F0D-CC44-B25E-A0978BC1F0F0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6B17B115-B36F-D846-8116-6E80E2D25653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EAD60774-14C3-AF43-BC14-B531A965C4C1}">
          <x14:formula1>
            <xm:f>Personalização!$S$7:$S$25</xm:f>
          </x14:formula1>
          <xm:sqref>I6:I103 N6:N500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B1FBC-2FC5-7145-A596-8A624E613004}">
  <sheetPr codeName="Planilha17">
    <tabColor rgb="FF0070C0"/>
  </sheetPr>
  <dimension ref="A1:Z501"/>
  <sheetViews>
    <sheetView showGridLines="0" showRowColHeaders="0" workbookViewId="0">
      <selection activeCell="B7" sqref="B7"/>
    </sheetView>
  </sheetViews>
  <sheetFormatPr baseColWidth="10" defaultColWidth="0" defaultRowHeight="16" customHeight="1" zeroHeight="1" x14ac:dyDescent="0.2"/>
  <cols>
    <col min="1" max="1" width="3.6640625" style="6" customWidth="1"/>
    <col min="2" max="2" width="16" style="6" customWidth="1"/>
    <col min="3" max="3" width="20.5" style="64" customWidth="1"/>
    <col min="4" max="4" width="1.33203125" style="8" customWidth="1"/>
    <col min="5" max="5" width="3.1640625" style="8" customWidth="1"/>
    <col min="6" max="6" width="34.83203125" style="6" customWidth="1"/>
    <col min="7" max="7" width="15.6640625" style="65" bestFit="1" customWidth="1"/>
    <col min="8" max="8" width="11.83203125" style="8" customWidth="1"/>
    <col min="9" max="9" width="28.5" style="8" bestFit="1" customWidth="1"/>
    <col min="10" max="10" width="4.5" style="6" customWidth="1"/>
    <col min="11" max="11" width="34.83203125" style="6" customWidth="1"/>
    <col min="12" max="12" width="13.33203125" style="64" bestFit="1" customWidth="1"/>
    <col min="13" max="13" width="20.5" style="8" bestFit="1" customWidth="1"/>
    <col min="14" max="14" width="28.5" style="8" bestFit="1" customWidth="1"/>
    <col min="15" max="15" width="4.6640625" style="6" customWidth="1"/>
    <col min="16" max="16" width="36.33203125" style="6" customWidth="1"/>
    <col min="17" max="17" width="16.1640625" style="64" customWidth="1"/>
    <col min="18" max="18" width="18.6640625" style="8" customWidth="1"/>
    <col min="19" max="19" width="6.5" style="8" customWidth="1"/>
    <col min="20" max="20" width="2.6640625" style="6" customWidth="1"/>
    <col min="21" max="21" width="18.6640625" style="6" customWidth="1"/>
    <col min="22" max="22" width="11.83203125" style="6" customWidth="1"/>
    <col min="23" max="23" width="13.83203125" style="6" hidden="1" customWidth="1"/>
    <col min="24" max="25" width="9.5" style="6" hidden="1" customWidth="1"/>
    <col min="26" max="26" width="14.5" style="8" hidden="1" customWidth="1"/>
    <col min="27" max="16384" width="9.5" style="6" hidden="1"/>
  </cols>
  <sheetData>
    <row r="1" spans="1:26" x14ac:dyDescent="0.2">
      <c r="A1" s="63"/>
    </row>
    <row r="2" spans="1:26" x14ac:dyDescent="0.2"/>
    <row r="3" spans="1:26" ht="7" customHeight="1" x14ac:dyDescent="0.2"/>
    <row r="4" spans="1:26" ht="19" x14ac:dyDescent="0.25">
      <c r="B4" s="66" t="s">
        <v>50</v>
      </c>
      <c r="C4" s="67">
        <f>SUM(C6:C19)</f>
        <v>2000</v>
      </c>
      <c r="D4" s="68"/>
      <c r="E4" s="68"/>
      <c r="F4" s="66" t="s">
        <v>1</v>
      </c>
      <c r="G4" s="67">
        <f>SUM(G6:G103)</f>
        <v>0</v>
      </c>
      <c r="H4" s="67"/>
      <c r="I4" s="69"/>
      <c r="J4" s="68"/>
      <c r="K4" s="66" t="s">
        <v>51</v>
      </c>
      <c r="L4" s="70">
        <f>SUM(L6:L500)</f>
        <v>0</v>
      </c>
      <c r="M4" s="70"/>
      <c r="N4" s="71"/>
      <c r="O4" s="68"/>
      <c r="P4" s="72" t="s">
        <v>153</v>
      </c>
      <c r="Q4" s="71"/>
      <c r="R4" s="71"/>
      <c r="T4" s="68"/>
      <c r="Z4" s="73"/>
    </row>
    <row r="5" spans="1:26" s="8" customFormat="1" x14ac:dyDescent="0.2">
      <c r="B5" s="74" t="s">
        <v>154</v>
      </c>
      <c r="C5" s="75" t="s">
        <v>152</v>
      </c>
      <c r="F5" s="74" t="s">
        <v>151</v>
      </c>
      <c r="G5" s="75" t="s">
        <v>152</v>
      </c>
      <c r="H5" s="74" t="s">
        <v>155</v>
      </c>
      <c r="I5" s="74" t="s">
        <v>156</v>
      </c>
      <c r="K5" s="74" t="s">
        <v>151</v>
      </c>
      <c r="L5" s="75" t="s">
        <v>152</v>
      </c>
      <c r="M5" s="74" t="s">
        <v>157</v>
      </c>
      <c r="N5" s="74" t="s">
        <v>156</v>
      </c>
      <c r="P5" s="74" t="s">
        <v>151</v>
      </c>
      <c r="Q5" s="74" t="s">
        <v>152</v>
      </c>
      <c r="R5" s="74" t="s">
        <v>158</v>
      </c>
      <c r="Z5" s="68" t="s">
        <v>157</v>
      </c>
    </row>
    <row r="6" spans="1:26" x14ac:dyDescent="0.2">
      <c r="B6" s="163" t="s">
        <v>182</v>
      </c>
      <c r="C6" s="164">
        <v>2000</v>
      </c>
      <c r="F6" s="76" t="str">
        <f>IF(Personalização!B7=0,"",Personalização!B7)</f>
        <v>Aluguel + Condomínio</v>
      </c>
      <c r="G6" s="164"/>
      <c r="H6" s="169" t="s">
        <v>164</v>
      </c>
      <c r="I6" s="169"/>
      <c r="J6" s="8"/>
      <c r="K6" s="167"/>
      <c r="L6" s="77"/>
      <c r="M6" s="169"/>
      <c r="N6" s="169"/>
      <c r="P6" s="167"/>
      <c r="Q6" s="77"/>
      <c r="R6" s="171"/>
      <c r="Y6" s="8">
        <v>1</v>
      </c>
      <c r="Z6" s="8" t="e">
        <f>VLOOKUP(M6,Personalização!$I$7:$J$16,2,FALSE)</f>
        <v>#N/A</v>
      </c>
    </row>
    <row r="7" spans="1:26" x14ac:dyDescent="0.2">
      <c r="B7" s="165"/>
      <c r="C7" s="77"/>
      <c r="F7" s="76" t="str">
        <f>IF(Personalização!B8=0,"",Personalização!B8)</f>
        <v>Água</v>
      </c>
      <c r="G7" s="77"/>
      <c r="H7" s="169" t="s">
        <v>164</v>
      </c>
      <c r="I7" s="169"/>
      <c r="J7" s="78"/>
      <c r="K7" s="167"/>
      <c r="L7" s="77"/>
      <c r="M7" s="169"/>
      <c r="N7" s="169"/>
      <c r="Y7" s="8">
        <v>2</v>
      </c>
      <c r="Z7" s="8" t="e">
        <f>VLOOKUP(M7,Personalização!$I$7:$J$16,2,FALSE)</f>
        <v>#N/A</v>
      </c>
    </row>
    <row r="8" spans="1:26" ht="19" x14ac:dyDescent="0.25">
      <c r="B8" s="166"/>
      <c r="C8" s="77"/>
      <c r="F8" s="76" t="str">
        <f>IF(Personalização!B9=0,"",Personalização!B9)</f>
        <v>Luz</v>
      </c>
      <c r="G8" s="77"/>
      <c r="H8" s="169" t="s">
        <v>164</v>
      </c>
      <c r="I8" s="169"/>
      <c r="J8" s="78"/>
      <c r="K8" s="167"/>
      <c r="L8" s="77"/>
      <c r="M8" s="169"/>
      <c r="N8" s="169"/>
      <c r="P8" s="79" t="s">
        <v>159</v>
      </c>
      <c r="Q8" s="80">
        <f>SUM(Q10:Q26)</f>
        <v>0</v>
      </c>
      <c r="Y8" s="8">
        <v>3</v>
      </c>
      <c r="Z8" s="8" t="e">
        <f>VLOOKUP(M8,Personalização!$I$7:$J$16,2,FALSE)</f>
        <v>#N/A</v>
      </c>
    </row>
    <row r="9" spans="1:26" x14ac:dyDescent="0.2">
      <c r="B9" s="165"/>
      <c r="C9" s="77"/>
      <c r="F9" s="76" t="str">
        <f>IF(Personalização!B10=0,"",Personalização!B10)</f>
        <v>Internet</v>
      </c>
      <c r="G9" s="170"/>
      <c r="H9" s="169" t="s">
        <v>164</v>
      </c>
      <c r="I9" s="169"/>
      <c r="J9" s="78"/>
      <c r="K9" s="167"/>
      <c r="L9" s="77"/>
      <c r="M9" s="169"/>
      <c r="N9" s="169"/>
      <c r="P9" s="81" t="s">
        <v>160</v>
      </c>
      <c r="Q9" s="82" t="s">
        <v>161</v>
      </c>
      <c r="Y9" s="8">
        <v>4</v>
      </c>
      <c r="Z9" s="8" t="e">
        <f>VLOOKUP(M9,Personalização!$I$7:$J$16,2,FALSE)</f>
        <v>#N/A</v>
      </c>
    </row>
    <row r="10" spans="1:26" x14ac:dyDescent="0.2">
      <c r="B10" s="165"/>
      <c r="C10" s="77"/>
      <c r="F10" s="76" t="str">
        <f>IF(Personalização!B11=0,"",Personalização!B11)</f>
        <v>Financiamento</v>
      </c>
      <c r="G10" s="170"/>
      <c r="H10" s="169" t="s">
        <v>164</v>
      </c>
      <c r="I10" s="169"/>
      <c r="J10" s="78"/>
      <c r="K10" s="167"/>
      <c r="L10" s="77"/>
      <c r="M10" s="169"/>
      <c r="N10" s="169"/>
      <c r="P10" s="83" t="str">
        <f>IF(Personalização!S7=0,"",Personalização!S7)</f>
        <v>Pix</v>
      </c>
      <c r="Q10" s="84" t="str">
        <f t="shared" ref="Q10:Q26" si="0">IF(P10="","",IF(SUMIF($N$6:$N$500,P10,$L$6:$L$500)+SUMIF($I$6:$I$103,P10,$G$6:$G$103)=0,"",SUMIF($N$6:$N$500,P10,$L$6:$L$500)+SUMIF($I$6:$I$103,P10,$G$6:$G$103)))</f>
        <v/>
      </c>
      <c r="Y10" s="8">
        <v>5</v>
      </c>
      <c r="Z10" s="8" t="e">
        <f>VLOOKUP(M10,Personalização!$I$7:$J$16,2,FALSE)</f>
        <v>#N/A</v>
      </c>
    </row>
    <row r="11" spans="1:26" x14ac:dyDescent="0.2">
      <c r="B11" s="165"/>
      <c r="C11" s="77"/>
      <c r="F11" s="76" t="str">
        <f>IF(Personalização!B12=0,"",Personalização!B12)</f>
        <v>Plano de Saúde</v>
      </c>
      <c r="G11" s="77"/>
      <c r="H11" s="169" t="s">
        <v>164</v>
      </c>
      <c r="I11" s="169"/>
      <c r="J11" s="78"/>
      <c r="K11" s="172"/>
      <c r="L11" s="173"/>
      <c r="M11" s="169"/>
      <c r="N11" s="169"/>
      <c r="P11" s="83" t="str">
        <f>IF(Personalização!S8=0,"",Personalização!S8)</f>
        <v>Dinheiro</v>
      </c>
      <c r="Q11" s="84" t="str">
        <f t="shared" si="0"/>
        <v/>
      </c>
      <c r="Y11" s="8">
        <v>6</v>
      </c>
      <c r="Z11" s="8" t="e">
        <f>VLOOKUP(M11,Personalização!$I$7:$J$16,2,FALSE)</f>
        <v>#N/A</v>
      </c>
    </row>
    <row r="12" spans="1:26" x14ac:dyDescent="0.2">
      <c r="B12" s="165"/>
      <c r="C12" s="77"/>
      <c r="F12" s="76" t="str">
        <f>IF(Personalização!B13=0,"",Personalização!B13)</f>
        <v>Seguro Carro</v>
      </c>
      <c r="G12" s="170"/>
      <c r="H12" s="169" t="s">
        <v>164</v>
      </c>
      <c r="I12" s="169"/>
      <c r="J12" s="78"/>
      <c r="K12" s="167"/>
      <c r="L12" s="77"/>
      <c r="M12" s="169"/>
      <c r="N12" s="169"/>
      <c r="O12" s="64"/>
      <c r="P12" s="83" t="str">
        <f>IF(Personalização!S9=0,"",Personalização!S9)</f>
        <v>Cartão Visa</v>
      </c>
      <c r="Q12" s="84" t="str">
        <f t="shared" si="0"/>
        <v/>
      </c>
      <c r="Y12" s="8">
        <v>7</v>
      </c>
      <c r="Z12" s="8" t="e">
        <f>VLOOKUP(M12,Personalização!$I$7:$J$16,2,FALSE)</f>
        <v>#N/A</v>
      </c>
    </row>
    <row r="13" spans="1:26" x14ac:dyDescent="0.2">
      <c r="B13" s="165"/>
      <c r="C13" s="77"/>
      <c r="F13" s="76" t="str">
        <f>IF(Personalização!B14=0,"",Personalização!B14)</f>
        <v>Parcela Imóvel</v>
      </c>
      <c r="G13" s="77"/>
      <c r="H13" s="169" t="s">
        <v>164</v>
      </c>
      <c r="I13" s="169"/>
      <c r="J13" s="78"/>
      <c r="K13" s="167"/>
      <c r="L13" s="77"/>
      <c r="M13" s="169"/>
      <c r="N13" s="169"/>
      <c r="P13" s="83" t="str">
        <f>IF(Personalização!S10=0,"",Personalização!S10)</f>
        <v>Cartão Mastercard</v>
      </c>
      <c r="Q13" s="84" t="str">
        <f t="shared" si="0"/>
        <v/>
      </c>
      <c r="Y13" s="8">
        <v>8</v>
      </c>
      <c r="Z13" s="8" t="e">
        <f>VLOOKUP(M13,Personalização!$I$7:$J$16,2,FALSE)</f>
        <v>#N/A</v>
      </c>
    </row>
    <row r="14" spans="1:26" x14ac:dyDescent="0.2">
      <c r="B14" s="165"/>
      <c r="C14" s="77"/>
      <c r="F14" s="76" t="str">
        <f>IF(Personalização!B15=0,"",Personalização!B15)</f>
        <v>Faculdade</v>
      </c>
      <c r="G14" s="77"/>
      <c r="H14" s="169" t="s">
        <v>164</v>
      </c>
      <c r="I14" s="169"/>
      <c r="J14" s="78"/>
      <c r="K14" s="167"/>
      <c r="L14" s="77"/>
      <c r="M14" s="169"/>
      <c r="N14" s="169"/>
      <c r="P14" s="83" t="str">
        <f>IF(Personalização!S11=0,"",Personalização!S11)</f>
        <v>Cartão Esposa</v>
      </c>
      <c r="Q14" s="84" t="str">
        <f t="shared" si="0"/>
        <v/>
      </c>
      <c r="Y14" s="8">
        <v>9</v>
      </c>
      <c r="Z14" s="8" t="e">
        <f>VLOOKUP(M14,Personalização!$I$7:$J$16,2,FALSE)</f>
        <v>#N/A</v>
      </c>
    </row>
    <row r="15" spans="1:26" x14ac:dyDescent="0.2">
      <c r="B15" s="165"/>
      <c r="C15" s="77"/>
      <c r="F15" s="76" t="str">
        <f>IF(Personalização!B16=0,"",Personalização!B16)</f>
        <v>Despesa 10</v>
      </c>
      <c r="G15" s="77"/>
      <c r="H15" s="169" t="s">
        <v>164</v>
      </c>
      <c r="I15" s="169"/>
      <c r="J15" s="78"/>
      <c r="K15" s="167"/>
      <c r="L15" s="77"/>
      <c r="M15" s="169"/>
      <c r="N15" s="169"/>
      <c r="P15" s="83" t="str">
        <f>IF(Personalização!S12=0,"",Personalização!S12)</f>
        <v>Cartão Filho</v>
      </c>
      <c r="Q15" s="84" t="str">
        <f t="shared" si="0"/>
        <v/>
      </c>
      <c r="Y15" s="8">
        <v>10</v>
      </c>
      <c r="Z15" s="8" t="e">
        <f>VLOOKUP(M15,Personalização!$I$7:$J$16,2,FALSE)</f>
        <v>#N/A</v>
      </c>
    </row>
    <row r="16" spans="1:26" x14ac:dyDescent="0.2">
      <c r="B16" s="165"/>
      <c r="C16" s="77"/>
      <c r="F16" s="76" t="str">
        <f>IF(Personalização!B17=0,"",Personalização!B17)</f>
        <v>Despesa 11</v>
      </c>
      <c r="G16" s="77"/>
      <c r="H16" s="169" t="s">
        <v>164</v>
      </c>
      <c r="I16" s="169"/>
      <c r="J16" s="78"/>
      <c r="K16" s="167"/>
      <c r="L16" s="77"/>
      <c r="M16" s="169"/>
      <c r="N16" s="169"/>
      <c r="P16" s="83" t="str">
        <f>IF(Personalização!S13=0,"",Personalização!S13)</f>
        <v>Cartão Filha</v>
      </c>
      <c r="Q16" s="84" t="str">
        <f t="shared" si="0"/>
        <v/>
      </c>
      <c r="Z16" s="8" t="e">
        <f>VLOOKUP(M16,Personalização!$I$7:$J$16,2,FALSE)</f>
        <v>#N/A</v>
      </c>
    </row>
    <row r="17" spans="2:26" x14ac:dyDescent="0.2">
      <c r="B17" s="165"/>
      <c r="C17" s="77"/>
      <c r="F17" s="76" t="str">
        <f>IF(Personalização!B18=0,"",Personalização!B18)</f>
        <v>Despesa 12</v>
      </c>
      <c r="G17" s="77"/>
      <c r="H17" s="169"/>
      <c r="I17" s="169"/>
      <c r="J17" s="78"/>
      <c r="K17" s="167"/>
      <c r="L17" s="77"/>
      <c r="M17" s="169"/>
      <c r="N17" s="169"/>
      <c r="P17" s="83" t="str">
        <f>IF(Personalização!S14=0,"",Personalização!S14)</f>
        <v>Cartão Sogra</v>
      </c>
      <c r="Q17" s="84" t="str">
        <f t="shared" si="0"/>
        <v/>
      </c>
      <c r="Z17" s="8" t="e">
        <f>VLOOKUP(M17,Personalização!$I$7:$J$16,2,FALSE)</f>
        <v>#N/A</v>
      </c>
    </row>
    <row r="18" spans="2:26" x14ac:dyDescent="0.2">
      <c r="B18" s="165"/>
      <c r="C18" s="77"/>
      <c r="F18" s="76" t="str">
        <f>IF(Personalização!B19=0,"",Personalização!B19)</f>
        <v/>
      </c>
      <c r="G18" s="77"/>
      <c r="H18" s="169"/>
      <c r="I18" s="169"/>
      <c r="J18" s="78"/>
      <c r="K18" s="167"/>
      <c r="L18" s="77"/>
      <c r="M18" s="169"/>
      <c r="N18" s="169"/>
      <c r="P18" s="83" t="str">
        <f>IF(Personalização!S15=0,"",Personalização!S15)</f>
        <v/>
      </c>
      <c r="Q18" s="84" t="str">
        <f t="shared" si="0"/>
        <v/>
      </c>
      <c r="Z18" s="8" t="e">
        <f>VLOOKUP(M18,Personalização!$I$7:$J$16,2,FALSE)</f>
        <v>#N/A</v>
      </c>
    </row>
    <row r="19" spans="2:26" x14ac:dyDescent="0.2">
      <c r="B19" s="165"/>
      <c r="C19" s="77"/>
      <c r="F19" s="76" t="str">
        <f>IF(Personalização!B20=0,"",Personalização!B20)</f>
        <v/>
      </c>
      <c r="G19" s="77"/>
      <c r="H19" s="169"/>
      <c r="I19" s="169"/>
      <c r="J19" s="78"/>
      <c r="K19" s="167"/>
      <c r="L19" s="77"/>
      <c r="M19" s="169"/>
      <c r="N19" s="169"/>
      <c r="P19" s="83" t="str">
        <f>IF(Personalização!S16=0,"",Personalização!S16)</f>
        <v/>
      </c>
      <c r="Q19" s="84" t="str">
        <f t="shared" si="0"/>
        <v/>
      </c>
      <c r="Z19" s="8" t="e">
        <f>VLOOKUP(M19,Personalização!$I$7:$J$16,2,FALSE)</f>
        <v>#N/A</v>
      </c>
    </row>
    <row r="20" spans="2:26" x14ac:dyDescent="0.2">
      <c r="F20" s="76" t="str">
        <f>IF(Personalização!B21=0,"",Personalização!B21)</f>
        <v/>
      </c>
      <c r="G20" s="77"/>
      <c r="H20" s="169"/>
      <c r="I20" s="169"/>
      <c r="J20" s="78"/>
      <c r="K20" s="167"/>
      <c r="L20" s="77"/>
      <c r="M20" s="169"/>
      <c r="N20" s="169"/>
      <c r="P20" s="83" t="str">
        <f>IF(Personalização!S17=0,"",Personalização!S17)</f>
        <v/>
      </c>
      <c r="Q20" s="84" t="str">
        <f t="shared" si="0"/>
        <v/>
      </c>
      <c r="Z20" s="8" t="e">
        <f>VLOOKUP(M20,Personalização!$I$7:$J$16,2,FALSE)</f>
        <v>#N/A</v>
      </c>
    </row>
    <row r="21" spans="2:26" ht="19" x14ac:dyDescent="0.25">
      <c r="B21" s="85"/>
      <c r="C21" s="73"/>
      <c r="F21" s="76" t="str">
        <f>IF(Personalização!B22=0,"",Personalização!B22)</f>
        <v/>
      </c>
      <c r="G21" s="77"/>
      <c r="H21" s="169"/>
      <c r="I21" s="169"/>
      <c r="J21" s="78"/>
      <c r="K21" s="167"/>
      <c r="L21" s="77"/>
      <c r="M21" s="169"/>
      <c r="N21" s="169"/>
      <c r="P21" s="83" t="str">
        <f>IF(Personalização!S18=0,"",Personalização!S18)</f>
        <v/>
      </c>
      <c r="Q21" s="84" t="str">
        <f t="shared" si="0"/>
        <v/>
      </c>
      <c r="Z21" s="8" t="e">
        <f>VLOOKUP(M21,Personalização!$I$7:$J$16,2,FALSE)</f>
        <v>#N/A</v>
      </c>
    </row>
    <row r="22" spans="2:26" ht="19" x14ac:dyDescent="0.25">
      <c r="B22" s="66" t="s">
        <v>162</v>
      </c>
      <c r="C22" s="67">
        <f>SUM(C24:C28)</f>
        <v>0</v>
      </c>
      <c r="F22" s="76" t="str">
        <f>IF(Personalização!B23=0,"",Personalização!B23)</f>
        <v/>
      </c>
      <c r="G22" s="77"/>
      <c r="H22" s="169"/>
      <c r="I22" s="169"/>
      <c r="J22" s="78"/>
      <c r="K22" s="167"/>
      <c r="L22" s="77"/>
      <c r="M22" s="169"/>
      <c r="N22" s="169"/>
      <c r="P22" s="83" t="str">
        <f>IF(Personalização!S19=0,"",Personalização!S19)</f>
        <v/>
      </c>
      <c r="Q22" s="84" t="str">
        <f t="shared" si="0"/>
        <v/>
      </c>
      <c r="Z22" s="8" t="e">
        <f>VLOOKUP(M22,Personalização!$I$7:$J$16,2,FALSE)</f>
        <v>#N/A</v>
      </c>
    </row>
    <row r="23" spans="2:26" x14ac:dyDescent="0.2">
      <c r="B23" s="74" t="s">
        <v>151</v>
      </c>
      <c r="C23" s="75" t="s">
        <v>152</v>
      </c>
      <c r="F23" s="76" t="str">
        <f>IF(Personalização!B24=0,"",Personalização!B24)</f>
        <v/>
      </c>
      <c r="G23" s="77"/>
      <c r="H23" s="169"/>
      <c r="I23" s="169"/>
      <c r="J23" s="78"/>
      <c r="K23" s="167"/>
      <c r="L23" s="77"/>
      <c r="M23" s="169"/>
      <c r="N23" s="169"/>
      <c r="P23" s="83" t="str">
        <f>IF(Personalização!S20=0,"",Personalização!S20)</f>
        <v/>
      </c>
      <c r="Q23" s="84" t="str">
        <f t="shared" si="0"/>
        <v/>
      </c>
      <c r="Z23" s="8" t="e">
        <f>VLOOKUP(M23,Personalização!$I$7:$J$16,2,FALSE)</f>
        <v>#N/A</v>
      </c>
    </row>
    <row r="24" spans="2:26" x14ac:dyDescent="0.2">
      <c r="B24" s="167"/>
      <c r="C24" s="168"/>
      <c r="F24" s="76" t="str">
        <f>IF(Personalização!B25=0,"",Personalização!B25)</f>
        <v/>
      </c>
      <c r="G24" s="77"/>
      <c r="H24" s="169"/>
      <c r="I24" s="169"/>
      <c r="J24" s="78"/>
      <c r="K24" s="167"/>
      <c r="L24" s="77"/>
      <c r="M24" s="169"/>
      <c r="N24" s="169"/>
      <c r="P24" s="83" t="str">
        <f>IF(Personalização!S21=0,"",Personalização!S21)</f>
        <v/>
      </c>
      <c r="Q24" s="84" t="str">
        <f t="shared" si="0"/>
        <v/>
      </c>
      <c r="Y24" s="119" t="e" cm="1">
        <f t="array" ref="Y24:Y28">VLOOKUP($B$24:$B$28,Personalização!$F$7:$G$12,2,FALSE)</f>
        <v>#N/A</v>
      </c>
      <c r="Z24" s="8" t="e">
        <f>VLOOKUP(M24,Personalização!$I$7:$J$16,2,FALSE)</f>
        <v>#N/A</v>
      </c>
    </row>
    <row r="25" spans="2:26" x14ac:dyDescent="0.2">
      <c r="B25" s="167"/>
      <c r="C25" s="168"/>
      <c r="F25" s="76" t="str">
        <f>IF(Personalização!B26=0,"",Personalização!B26)</f>
        <v/>
      </c>
      <c r="G25" s="77"/>
      <c r="H25" s="169"/>
      <c r="I25" s="169"/>
      <c r="J25" s="78"/>
      <c r="K25" s="167"/>
      <c r="L25" s="77"/>
      <c r="M25" s="169"/>
      <c r="N25" s="169"/>
      <c r="P25" s="83" t="str">
        <f>IF(Personalização!S22=0,"",Personalização!S22)</f>
        <v/>
      </c>
      <c r="Q25" s="84" t="str">
        <f t="shared" si="0"/>
        <v/>
      </c>
      <c r="Y25" s="6" t="e">
        <v>#N/A</v>
      </c>
      <c r="Z25" s="8" t="e">
        <f>VLOOKUP(M25,Personalização!$I$7:$J$16,2,FALSE)</f>
        <v>#N/A</v>
      </c>
    </row>
    <row r="26" spans="2:26" x14ac:dyDescent="0.2">
      <c r="B26" s="167"/>
      <c r="C26" s="168"/>
      <c r="F26" s="76" t="str">
        <f>IF(Personalização!B27=0,"",Personalização!B27)</f>
        <v/>
      </c>
      <c r="G26" s="77"/>
      <c r="H26" s="169"/>
      <c r="I26" s="169"/>
      <c r="J26" s="78"/>
      <c r="K26" s="167"/>
      <c r="L26" s="77"/>
      <c r="M26" s="169"/>
      <c r="N26" s="169"/>
      <c r="P26" s="83" t="str">
        <f>IF(Personalização!S23=0,"",Personalização!S23)</f>
        <v/>
      </c>
      <c r="Q26" s="84" t="str">
        <f t="shared" si="0"/>
        <v/>
      </c>
      <c r="Y26" s="6" t="e">
        <v>#N/A</v>
      </c>
      <c r="Z26" s="8" t="e">
        <f>VLOOKUP(M26,Personalização!$I$7:$J$16,2,FALSE)</f>
        <v>#N/A</v>
      </c>
    </row>
    <row r="27" spans="2:26" x14ac:dyDescent="0.2">
      <c r="B27" s="167"/>
      <c r="C27" s="168"/>
      <c r="F27" s="76" t="str">
        <f>IF(Personalização!B28=0,"",Personalização!B28)</f>
        <v/>
      </c>
      <c r="G27" s="77"/>
      <c r="H27" s="169"/>
      <c r="I27" s="169"/>
      <c r="J27" s="78"/>
      <c r="K27" s="167"/>
      <c r="L27" s="77"/>
      <c r="M27" s="169"/>
      <c r="N27" s="169"/>
      <c r="P27" s="87"/>
      <c r="Q27" s="88"/>
      <c r="Y27" s="6" t="e">
        <v>#N/A</v>
      </c>
      <c r="Z27" s="8" t="e">
        <f>VLOOKUP(M27,Personalização!$I$7:$J$16,2,FALSE)</f>
        <v>#N/A</v>
      </c>
    </row>
    <row r="28" spans="2:26" x14ac:dyDescent="0.2">
      <c r="B28" s="167"/>
      <c r="C28" s="168"/>
      <c r="F28" s="76" t="str">
        <f>IF(Personalização!B29=0,"",Personalização!B29)</f>
        <v/>
      </c>
      <c r="G28" s="77"/>
      <c r="H28" s="169"/>
      <c r="I28" s="169"/>
      <c r="J28" s="78"/>
      <c r="K28" s="167"/>
      <c r="L28" s="77"/>
      <c r="M28" s="169"/>
      <c r="N28" s="169"/>
      <c r="Y28" s="6" t="e">
        <v>#N/A</v>
      </c>
      <c r="Z28" s="8" t="e">
        <f>VLOOKUP(M28,Personalização!$I$7:$J$16,2,FALSE)</f>
        <v>#N/A</v>
      </c>
    </row>
    <row r="29" spans="2:26" ht="19" x14ac:dyDescent="0.25">
      <c r="F29" s="76" t="str">
        <f>IF(Personalização!B30=0,"",Personalização!B30)</f>
        <v/>
      </c>
      <c r="G29" s="77"/>
      <c r="H29" s="169"/>
      <c r="I29" s="169"/>
      <c r="J29" s="78"/>
      <c r="K29" s="167"/>
      <c r="L29" s="77"/>
      <c r="M29" s="169"/>
      <c r="N29" s="169"/>
      <c r="P29" s="89" t="s">
        <v>163</v>
      </c>
      <c r="Q29" s="89"/>
      <c r="Z29" s="8" t="e">
        <f>VLOOKUP(M29,Personalização!$I$7:$J$16,2,FALSE)</f>
        <v>#N/A</v>
      </c>
    </row>
    <row r="30" spans="2:26" x14ac:dyDescent="0.2">
      <c r="F30" s="76" t="str">
        <f>IF(Personalização!B31=0,"",Personalização!B31)</f>
        <v/>
      </c>
      <c r="G30" s="77"/>
      <c r="H30" s="169"/>
      <c r="I30" s="169"/>
      <c r="J30" s="78"/>
      <c r="K30" s="167"/>
      <c r="L30" s="77"/>
      <c r="M30" s="169"/>
      <c r="N30" s="169"/>
      <c r="P30" s="90" t="s">
        <v>151</v>
      </c>
      <c r="Q30" s="91" t="s">
        <v>152</v>
      </c>
      <c r="Z30" s="8" t="e">
        <f>VLOOKUP(M30,Personalização!$I$7:$J$16,2,FALSE)</f>
        <v>#N/A</v>
      </c>
    </row>
    <row r="31" spans="2:26" ht="19" x14ac:dyDescent="0.25">
      <c r="B31" s="66" t="s">
        <v>59</v>
      </c>
      <c r="C31" s="67">
        <f>SUM(C33:C42)</f>
        <v>0</v>
      </c>
      <c r="F31" s="76" t="str">
        <f>IF(Personalização!B32=0,"",Personalização!B32)</f>
        <v/>
      </c>
      <c r="G31" s="77"/>
      <c r="H31" s="169"/>
      <c r="I31" s="169"/>
      <c r="J31" s="78"/>
      <c r="K31" s="167"/>
      <c r="L31" s="77"/>
      <c r="M31" s="169"/>
      <c r="N31" s="169"/>
      <c r="P31" s="167"/>
      <c r="Q31" s="77"/>
      <c r="Z31" s="8" t="e">
        <f>VLOOKUP(M31,Personalização!$I$7:$J$16,2,FALSE)</f>
        <v>#N/A</v>
      </c>
    </row>
    <row r="32" spans="2:26" x14ac:dyDescent="0.2">
      <c r="B32" s="92" t="s">
        <v>151</v>
      </c>
      <c r="C32" s="93" t="s">
        <v>152</v>
      </c>
      <c r="F32" s="76" t="str">
        <f>IF(Personalização!B33=0,"",Personalização!B33)</f>
        <v/>
      </c>
      <c r="G32" s="77"/>
      <c r="H32" s="169"/>
      <c r="I32" s="169"/>
      <c r="J32" s="78"/>
      <c r="K32" s="167"/>
      <c r="L32" s="77"/>
      <c r="M32" s="169"/>
      <c r="N32" s="169"/>
      <c r="P32" s="167"/>
      <c r="Q32" s="77"/>
      <c r="Z32" s="8" t="e">
        <f>VLOOKUP(M32,Personalização!$I$7:$J$16,2,FALSE)</f>
        <v>#N/A</v>
      </c>
    </row>
    <row r="33" spans="2:26" x14ac:dyDescent="0.2">
      <c r="B33" s="167"/>
      <c r="C33" s="77"/>
      <c r="F33" s="76" t="str">
        <f>IF(Personalização!B34=0,"",Personalização!B34)</f>
        <v/>
      </c>
      <c r="G33" s="77"/>
      <c r="H33" s="169"/>
      <c r="I33" s="169"/>
      <c r="J33" s="78"/>
      <c r="K33" s="167"/>
      <c r="L33" s="77"/>
      <c r="M33" s="169"/>
      <c r="N33" s="169"/>
      <c r="P33" s="167"/>
      <c r="Q33" s="77"/>
      <c r="Z33" s="8" t="e">
        <f>VLOOKUP(M33,Personalização!$I$7:$J$16,2,FALSE)</f>
        <v>#N/A</v>
      </c>
    </row>
    <row r="34" spans="2:26" x14ac:dyDescent="0.2">
      <c r="B34" s="167"/>
      <c r="C34" s="77"/>
      <c r="F34" s="76" t="str">
        <f>IF(Personalização!B35=0,"",Personalização!B35)</f>
        <v/>
      </c>
      <c r="G34" s="77"/>
      <c r="H34" s="169"/>
      <c r="I34" s="169"/>
      <c r="J34" s="78"/>
      <c r="K34" s="167"/>
      <c r="L34" s="77"/>
      <c r="M34" s="169"/>
      <c r="N34" s="169"/>
      <c r="P34" s="167"/>
      <c r="Q34" s="77"/>
      <c r="Z34" s="8" t="e">
        <f>VLOOKUP(M34,Personalização!$I$7:$J$16,2,FALSE)</f>
        <v>#N/A</v>
      </c>
    </row>
    <row r="35" spans="2:26" x14ac:dyDescent="0.2">
      <c r="B35" s="167"/>
      <c r="C35" s="77"/>
      <c r="F35" s="76" t="str">
        <f>IF(Personalização!B36=0,"",Personalização!B36)</f>
        <v/>
      </c>
      <c r="G35" s="77"/>
      <c r="H35" s="169"/>
      <c r="I35" s="169"/>
      <c r="J35" s="78"/>
      <c r="K35" s="167"/>
      <c r="L35" s="77"/>
      <c r="M35" s="169"/>
      <c r="N35" s="169"/>
      <c r="P35" s="167"/>
      <c r="Q35" s="77"/>
      <c r="Z35" s="8" t="e">
        <f>VLOOKUP(M35,Personalização!$I$7:$J$16,2,FALSE)</f>
        <v>#N/A</v>
      </c>
    </row>
    <row r="36" spans="2:26" x14ac:dyDescent="0.2">
      <c r="B36" s="167"/>
      <c r="C36" s="77"/>
      <c r="F36" s="76" t="str">
        <f>IF(Personalização!B37=0,"",Personalização!B37)</f>
        <v/>
      </c>
      <c r="G36" s="77"/>
      <c r="H36" s="169"/>
      <c r="I36" s="169"/>
      <c r="J36" s="78"/>
      <c r="K36" s="167"/>
      <c r="L36" s="77"/>
      <c r="M36" s="169"/>
      <c r="N36" s="169"/>
      <c r="P36" s="167"/>
      <c r="Q36" s="77"/>
      <c r="Z36" s="8" t="e">
        <f>VLOOKUP(M36,Personalização!$I$7:$J$16,2,FALSE)</f>
        <v>#N/A</v>
      </c>
    </row>
    <row r="37" spans="2:26" x14ac:dyDescent="0.2">
      <c r="B37" s="167"/>
      <c r="C37" s="77"/>
      <c r="F37" s="76" t="str">
        <f>IF(Personalização!B38=0,"",Personalização!B38)</f>
        <v/>
      </c>
      <c r="G37" s="77"/>
      <c r="H37" s="169"/>
      <c r="I37" s="169"/>
      <c r="J37" s="78"/>
      <c r="K37" s="167"/>
      <c r="L37" s="77"/>
      <c r="M37" s="169"/>
      <c r="N37" s="169"/>
      <c r="P37" s="167"/>
      <c r="Q37" s="77"/>
      <c r="Z37" s="8" t="e">
        <f>VLOOKUP(M37,Personalização!$I$7:$J$16,2,FALSE)</f>
        <v>#N/A</v>
      </c>
    </row>
    <row r="38" spans="2:26" x14ac:dyDescent="0.2">
      <c r="B38" s="167"/>
      <c r="C38" s="77"/>
      <c r="F38" s="76" t="str">
        <f>IF(Personalização!B39=0,"",Personalização!B39)</f>
        <v/>
      </c>
      <c r="G38" s="77"/>
      <c r="H38" s="169"/>
      <c r="I38" s="169"/>
      <c r="J38" s="78"/>
      <c r="K38" s="167"/>
      <c r="L38" s="77"/>
      <c r="M38" s="169"/>
      <c r="N38" s="169"/>
      <c r="P38" s="167"/>
      <c r="Q38" s="77"/>
      <c r="Z38" s="8" t="e">
        <f>VLOOKUP(M38,Personalização!$I$7:$J$16,2,FALSE)</f>
        <v>#N/A</v>
      </c>
    </row>
    <row r="39" spans="2:26" x14ac:dyDescent="0.2">
      <c r="B39" s="167"/>
      <c r="C39" s="77"/>
      <c r="F39" s="76" t="str">
        <f>IF(Personalização!B40=0,"",Personalização!B40)</f>
        <v/>
      </c>
      <c r="G39" s="77"/>
      <c r="H39" s="169"/>
      <c r="I39" s="169"/>
      <c r="J39" s="78"/>
      <c r="K39" s="167"/>
      <c r="L39" s="77"/>
      <c r="M39" s="169"/>
      <c r="N39" s="169"/>
      <c r="P39" s="167"/>
      <c r="Q39" s="77"/>
      <c r="Z39" s="8" t="e">
        <f>VLOOKUP(M39,Personalização!$I$7:$J$16,2,FALSE)</f>
        <v>#N/A</v>
      </c>
    </row>
    <row r="40" spans="2:26" x14ac:dyDescent="0.2">
      <c r="B40" s="167"/>
      <c r="C40" s="77"/>
      <c r="F40" s="76" t="str">
        <f>IF(Personalização!B41=0,"",Personalização!B41)</f>
        <v/>
      </c>
      <c r="G40" s="77"/>
      <c r="H40" s="169"/>
      <c r="I40" s="169"/>
      <c r="J40" s="78"/>
      <c r="K40" s="167"/>
      <c r="L40" s="77"/>
      <c r="M40" s="169"/>
      <c r="N40" s="169"/>
      <c r="P40" s="167"/>
      <c r="Q40" s="77"/>
      <c r="Z40" s="8" t="e">
        <f>VLOOKUP(M40,Personalização!$I$7:$J$16,2,FALSE)</f>
        <v>#N/A</v>
      </c>
    </row>
    <row r="41" spans="2:26" x14ac:dyDescent="0.2">
      <c r="B41" s="167"/>
      <c r="C41" s="77"/>
      <c r="F41" s="76" t="str">
        <f>IF(Personalização!B42=0,"",Personalização!B42)</f>
        <v/>
      </c>
      <c r="G41" s="77"/>
      <c r="H41" s="169"/>
      <c r="I41" s="169"/>
      <c r="J41" s="78"/>
      <c r="K41" s="167"/>
      <c r="L41" s="77"/>
      <c r="M41" s="169"/>
      <c r="N41" s="169"/>
      <c r="P41" s="167"/>
      <c r="Q41" s="77"/>
      <c r="Z41" s="8" t="e">
        <f>VLOOKUP(M41,Personalização!$I$7:$J$16,2,FALSE)</f>
        <v>#N/A</v>
      </c>
    </row>
    <row r="42" spans="2:26" x14ac:dyDescent="0.2">
      <c r="B42" s="167"/>
      <c r="C42" s="77"/>
      <c r="F42" s="76" t="str">
        <f>IF(Personalização!B43=0,"",Personalização!B43)</f>
        <v/>
      </c>
      <c r="G42" s="77"/>
      <c r="H42" s="169"/>
      <c r="I42" s="169"/>
      <c r="J42" s="78"/>
      <c r="K42" s="167"/>
      <c r="L42" s="77"/>
      <c r="M42" s="169"/>
      <c r="N42" s="169"/>
      <c r="P42" s="167"/>
      <c r="Q42" s="77"/>
      <c r="Z42" s="8" t="e">
        <f>VLOOKUP(M42,Personalização!$I$7:$J$16,2,FALSE)</f>
        <v>#N/A</v>
      </c>
    </row>
    <row r="43" spans="2:26" x14ac:dyDescent="0.2">
      <c r="F43" s="76" t="str">
        <f>IF(Personalização!B44=0,"",Personalização!B44)</f>
        <v/>
      </c>
      <c r="G43" s="77"/>
      <c r="H43" s="169"/>
      <c r="I43" s="169"/>
      <c r="J43" s="78"/>
      <c r="K43" s="167"/>
      <c r="L43" s="77"/>
      <c r="M43" s="169"/>
      <c r="N43" s="169"/>
      <c r="P43" s="7"/>
      <c r="Q43" s="94"/>
      <c r="R43" s="95"/>
      <c r="S43" s="95"/>
      <c r="T43" s="7"/>
      <c r="U43" s="7"/>
      <c r="V43" s="7"/>
      <c r="W43" s="7"/>
      <c r="X43" s="7"/>
      <c r="Z43" s="8" t="e">
        <f>VLOOKUP(M43,Personalização!$I$7:$J$16,2,FALSE)</f>
        <v>#N/A</v>
      </c>
    </row>
    <row r="44" spans="2:26" x14ac:dyDescent="0.2">
      <c r="F44" s="76" t="str">
        <f>IF(Personalização!B45=0,"",Personalização!B45)</f>
        <v/>
      </c>
      <c r="G44" s="77"/>
      <c r="H44" s="169"/>
      <c r="I44" s="169"/>
      <c r="J44" s="78"/>
      <c r="K44" s="167"/>
      <c r="L44" s="77"/>
      <c r="M44" s="169"/>
      <c r="N44" s="169"/>
      <c r="P44" s="7"/>
      <c r="Q44" s="94"/>
      <c r="R44" s="95"/>
      <c r="S44" s="95"/>
      <c r="T44" s="7"/>
      <c r="U44" s="7"/>
      <c r="V44" s="7"/>
      <c r="W44" s="7"/>
      <c r="X44" s="7"/>
      <c r="Z44" s="8" t="e">
        <f>VLOOKUP(M44,Personalização!$I$7:$J$16,2,FALSE)</f>
        <v>#N/A</v>
      </c>
    </row>
    <row r="45" spans="2:26" x14ac:dyDescent="0.2">
      <c r="F45" s="76" t="str">
        <f>IF(Personalização!B46=0,"",Personalização!B46)</f>
        <v/>
      </c>
      <c r="G45" s="77"/>
      <c r="H45" s="169"/>
      <c r="I45" s="169"/>
      <c r="J45" s="78"/>
      <c r="K45" s="167"/>
      <c r="L45" s="77"/>
      <c r="M45" s="169"/>
      <c r="N45" s="169"/>
      <c r="P45" s="7"/>
      <c r="Q45" s="94"/>
      <c r="R45" s="95"/>
      <c r="S45" s="95"/>
      <c r="T45" s="7"/>
      <c r="U45" s="7"/>
      <c r="V45" s="7"/>
      <c r="W45" s="7"/>
      <c r="X45" s="7"/>
      <c r="Z45" s="8" t="e">
        <f>VLOOKUP(M45,Personalização!$I$7:$J$16,2,FALSE)</f>
        <v>#N/A</v>
      </c>
    </row>
    <row r="46" spans="2:26" x14ac:dyDescent="0.2">
      <c r="F46" s="76" t="str">
        <f>IF(Personalização!B47=0,"",Personalização!B47)</f>
        <v/>
      </c>
      <c r="G46" s="77"/>
      <c r="H46" s="169"/>
      <c r="I46" s="169"/>
      <c r="J46" s="78"/>
      <c r="K46" s="167"/>
      <c r="L46" s="77"/>
      <c r="M46" s="169"/>
      <c r="N46" s="169"/>
      <c r="P46" s="7"/>
      <c r="Q46" s="94"/>
      <c r="R46" s="95"/>
      <c r="S46" s="95"/>
      <c r="T46" s="7"/>
      <c r="U46" s="7"/>
      <c r="V46" s="7"/>
      <c r="W46" s="7"/>
      <c r="X46" s="7"/>
      <c r="Z46" s="8" t="e">
        <f>VLOOKUP(M46,Personalização!$I$7:$J$16,2,FALSE)</f>
        <v>#N/A</v>
      </c>
    </row>
    <row r="47" spans="2:26" x14ac:dyDescent="0.2">
      <c r="F47" s="76" t="str">
        <f>IF(Personalização!B48=0,"",Personalização!B48)</f>
        <v/>
      </c>
      <c r="G47" s="77"/>
      <c r="H47" s="169"/>
      <c r="I47" s="169"/>
      <c r="J47" s="78"/>
      <c r="K47" s="167"/>
      <c r="L47" s="77"/>
      <c r="M47" s="169"/>
      <c r="N47" s="169"/>
      <c r="P47" s="7"/>
      <c r="Q47" s="94"/>
      <c r="R47" s="95"/>
      <c r="S47" s="95"/>
      <c r="T47" s="7"/>
      <c r="U47" s="7"/>
      <c r="V47" s="7"/>
      <c r="W47" s="7"/>
      <c r="X47" s="7"/>
      <c r="Z47" s="8" t="e">
        <f>VLOOKUP(M47,Personalização!$I$7:$J$16,2,FALSE)</f>
        <v>#N/A</v>
      </c>
    </row>
    <row r="48" spans="2:26" x14ac:dyDescent="0.2">
      <c r="F48" s="76" t="str">
        <f>IF(Personalização!B49=0,"",Personalização!B49)</f>
        <v/>
      </c>
      <c r="G48" s="77"/>
      <c r="H48" s="169"/>
      <c r="I48" s="169"/>
      <c r="J48" s="78"/>
      <c r="K48" s="167"/>
      <c r="L48" s="77"/>
      <c r="M48" s="169"/>
      <c r="N48" s="169"/>
      <c r="P48" s="7"/>
      <c r="Q48" s="94"/>
      <c r="R48" s="95"/>
      <c r="S48" s="95"/>
      <c r="T48" s="7"/>
      <c r="U48" s="7"/>
      <c r="V48" s="7"/>
      <c r="W48" s="7"/>
      <c r="X48" s="7"/>
      <c r="Z48" s="8" t="e">
        <f>VLOOKUP(M48,Personalização!$I$7:$J$16,2,FALSE)</f>
        <v>#N/A</v>
      </c>
    </row>
    <row r="49" spans="6:26" x14ac:dyDescent="0.2">
      <c r="F49" s="76" t="str">
        <f>IF(Personalização!B50=0,"",Personalização!B50)</f>
        <v/>
      </c>
      <c r="G49" s="77"/>
      <c r="H49" s="169"/>
      <c r="I49" s="169"/>
      <c r="J49" s="78"/>
      <c r="K49" s="167"/>
      <c r="L49" s="77"/>
      <c r="M49" s="169"/>
      <c r="N49" s="169"/>
      <c r="P49" s="7"/>
      <c r="Q49" s="94"/>
      <c r="R49" s="95"/>
      <c r="S49" s="95"/>
      <c r="T49" s="7"/>
      <c r="U49" s="7"/>
      <c r="V49" s="7"/>
      <c r="W49" s="7"/>
      <c r="X49" s="7"/>
      <c r="Z49" s="8" t="e">
        <f>VLOOKUP(M49,Personalização!$I$7:$J$16,2,FALSE)</f>
        <v>#N/A</v>
      </c>
    </row>
    <row r="50" spans="6:26" x14ac:dyDescent="0.2">
      <c r="F50" s="76" t="str">
        <f>IF(Personalização!B51=0,"",Personalização!B51)</f>
        <v/>
      </c>
      <c r="G50" s="77"/>
      <c r="H50" s="169"/>
      <c r="I50" s="169"/>
      <c r="J50" s="78"/>
      <c r="K50" s="167"/>
      <c r="L50" s="77"/>
      <c r="M50" s="169"/>
      <c r="N50" s="169"/>
      <c r="P50" s="7"/>
      <c r="Q50" s="94"/>
      <c r="R50" s="95"/>
      <c r="S50" s="95"/>
      <c r="T50" s="7"/>
      <c r="U50" s="7"/>
      <c r="V50" s="7"/>
      <c r="W50" s="7"/>
      <c r="X50" s="7"/>
      <c r="Z50" s="8" t="e">
        <f>VLOOKUP(M50,Personalização!$I$7:$J$16,2,FALSE)</f>
        <v>#N/A</v>
      </c>
    </row>
    <row r="51" spans="6:26" x14ac:dyDescent="0.2">
      <c r="F51" s="76" t="str">
        <f>IF(Personalização!B52=0,"",Personalização!B52)</f>
        <v/>
      </c>
      <c r="G51" s="77"/>
      <c r="H51" s="169"/>
      <c r="I51" s="169"/>
      <c r="J51" s="78"/>
      <c r="K51" s="167"/>
      <c r="L51" s="77"/>
      <c r="M51" s="169"/>
      <c r="N51" s="169"/>
      <c r="P51" s="7"/>
      <c r="Q51" s="94"/>
      <c r="R51" s="95"/>
      <c r="S51" s="95"/>
      <c r="T51" s="7"/>
      <c r="U51" s="7"/>
      <c r="V51" s="7"/>
      <c r="W51" s="7"/>
      <c r="X51" s="7"/>
      <c r="Z51" s="8" t="e">
        <f>VLOOKUP(M51,Personalização!$I$7:$J$16,2,FALSE)</f>
        <v>#N/A</v>
      </c>
    </row>
    <row r="52" spans="6:26" x14ac:dyDescent="0.2">
      <c r="F52" s="76" t="str">
        <f>IF(Personalização!B53=0,"",Personalização!B53)</f>
        <v/>
      </c>
      <c r="G52" s="77"/>
      <c r="H52" s="169"/>
      <c r="I52" s="169"/>
      <c r="J52" s="78"/>
      <c r="K52" s="167"/>
      <c r="L52" s="77"/>
      <c r="M52" s="169"/>
      <c r="N52" s="169"/>
      <c r="P52" s="7"/>
      <c r="Q52" s="94"/>
      <c r="R52" s="95"/>
      <c r="S52" s="95"/>
      <c r="T52" s="7"/>
      <c r="U52" s="7"/>
      <c r="V52" s="7"/>
      <c r="W52" s="7"/>
      <c r="X52" s="7"/>
      <c r="Z52" s="8" t="e">
        <f>VLOOKUP(M52,Personalização!$I$7:$J$16,2,FALSE)</f>
        <v>#N/A</v>
      </c>
    </row>
    <row r="53" spans="6:26" x14ac:dyDescent="0.2">
      <c r="F53" s="76" t="str">
        <f>IF(Personalização!B54=0,"",Personalização!B54)</f>
        <v/>
      </c>
      <c r="G53" s="77"/>
      <c r="H53" s="169"/>
      <c r="I53" s="169"/>
      <c r="J53" s="78"/>
      <c r="K53" s="167"/>
      <c r="L53" s="77"/>
      <c r="M53" s="169"/>
      <c r="N53" s="169"/>
      <c r="P53" s="7"/>
      <c r="Q53" s="94"/>
      <c r="R53" s="95"/>
      <c r="S53" s="95"/>
      <c r="T53" s="7"/>
      <c r="U53" s="7"/>
      <c r="V53" s="7"/>
      <c r="W53" s="7"/>
      <c r="X53" s="7"/>
      <c r="Z53" s="8" t="e">
        <f>VLOOKUP(M53,Personalização!$I$7:$J$16,2,FALSE)</f>
        <v>#N/A</v>
      </c>
    </row>
    <row r="54" spans="6:26" x14ac:dyDescent="0.2">
      <c r="F54" s="76" t="str">
        <f>IF(Personalização!B55=0,"",Personalização!B55)</f>
        <v/>
      </c>
      <c r="G54" s="77"/>
      <c r="H54" s="169"/>
      <c r="I54" s="169"/>
      <c r="J54" s="78"/>
      <c r="K54" s="167"/>
      <c r="L54" s="77"/>
      <c r="M54" s="169"/>
      <c r="N54" s="169"/>
      <c r="P54" s="7"/>
      <c r="Q54" s="94"/>
      <c r="R54" s="95"/>
      <c r="S54" s="95"/>
      <c r="T54" s="7"/>
      <c r="U54" s="7"/>
      <c r="V54" s="7"/>
      <c r="W54" s="7"/>
      <c r="X54" s="7"/>
      <c r="Z54" s="8" t="e">
        <f>VLOOKUP(M54,Personalização!$I$7:$J$16,2,FALSE)</f>
        <v>#N/A</v>
      </c>
    </row>
    <row r="55" spans="6:26" x14ac:dyDescent="0.2">
      <c r="F55" s="76" t="str">
        <f>IF(Personalização!B56=0,"",Personalização!B56)</f>
        <v/>
      </c>
      <c r="G55" s="77"/>
      <c r="H55" s="169"/>
      <c r="I55" s="169"/>
      <c r="J55" s="78"/>
      <c r="K55" s="167"/>
      <c r="L55" s="77"/>
      <c r="M55" s="169"/>
      <c r="N55" s="169"/>
      <c r="P55" s="7"/>
      <c r="Q55" s="94"/>
      <c r="R55" s="95"/>
      <c r="S55" s="95"/>
      <c r="T55" s="7"/>
      <c r="U55" s="7"/>
      <c r="V55" s="7"/>
      <c r="W55" s="7"/>
      <c r="X55" s="7"/>
      <c r="Z55" s="8" t="e">
        <f>VLOOKUP(M55,Personalização!$I$7:$J$16,2,FALSE)</f>
        <v>#N/A</v>
      </c>
    </row>
    <row r="56" spans="6:26" x14ac:dyDescent="0.2">
      <c r="F56" s="76" t="str">
        <f>IF(Personalização!B57=0,"",Personalização!B57)</f>
        <v/>
      </c>
      <c r="G56" s="77"/>
      <c r="H56" s="169"/>
      <c r="I56" s="169"/>
      <c r="J56" s="78"/>
      <c r="K56" s="167"/>
      <c r="L56" s="77"/>
      <c r="M56" s="169"/>
      <c r="N56" s="169"/>
      <c r="P56" s="7"/>
      <c r="Q56" s="94"/>
      <c r="R56" s="95"/>
      <c r="S56" s="95"/>
      <c r="T56" s="7"/>
      <c r="U56" s="7"/>
      <c r="V56" s="7"/>
      <c r="W56" s="7"/>
      <c r="X56" s="7"/>
      <c r="Z56" s="8" t="e">
        <f>VLOOKUP(M56,Personalização!$I$7:$J$16,2,FALSE)</f>
        <v>#N/A</v>
      </c>
    </row>
    <row r="57" spans="6:26" x14ac:dyDescent="0.2">
      <c r="F57" s="76" t="str">
        <f>IF(Personalização!B58=0,"",Personalização!B58)</f>
        <v/>
      </c>
      <c r="G57" s="77"/>
      <c r="H57" s="169"/>
      <c r="I57" s="169"/>
      <c r="J57" s="78"/>
      <c r="K57" s="167"/>
      <c r="L57" s="77"/>
      <c r="M57" s="169"/>
      <c r="N57" s="169"/>
      <c r="P57" s="7"/>
      <c r="Q57" s="94"/>
      <c r="R57" s="95"/>
      <c r="S57" s="95"/>
      <c r="T57" s="7"/>
      <c r="U57" s="7"/>
      <c r="V57" s="7"/>
      <c r="W57" s="7"/>
      <c r="X57" s="7"/>
      <c r="Z57" s="8" t="e">
        <f>VLOOKUP(M57,Personalização!$I$7:$J$16,2,FALSE)</f>
        <v>#N/A</v>
      </c>
    </row>
    <row r="58" spans="6:26" x14ac:dyDescent="0.2">
      <c r="F58" s="76" t="str">
        <f>IF(Personalização!B59=0,"",Personalização!B59)</f>
        <v/>
      </c>
      <c r="G58" s="77"/>
      <c r="H58" s="169"/>
      <c r="I58" s="169"/>
      <c r="J58" s="78"/>
      <c r="K58" s="167"/>
      <c r="L58" s="77"/>
      <c r="M58" s="169"/>
      <c r="N58" s="169"/>
      <c r="P58" s="7"/>
      <c r="Q58" s="94"/>
      <c r="R58" s="95"/>
      <c r="S58" s="95"/>
      <c r="T58" s="7"/>
      <c r="U58" s="7"/>
      <c r="V58" s="7"/>
      <c r="W58" s="7"/>
      <c r="X58" s="7"/>
      <c r="Z58" s="8" t="e">
        <f>VLOOKUP(M58,Personalização!$I$7:$J$16,2,FALSE)</f>
        <v>#N/A</v>
      </c>
    </row>
    <row r="59" spans="6:26" x14ac:dyDescent="0.2">
      <c r="F59" s="76" t="str">
        <f>IF(Personalização!B60=0,"",Personalização!B60)</f>
        <v/>
      </c>
      <c r="G59" s="77"/>
      <c r="H59" s="169"/>
      <c r="I59" s="169"/>
      <c r="J59" s="78"/>
      <c r="K59" s="167"/>
      <c r="L59" s="77"/>
      <c r="M59" s="169"/>
      <c r="N59" s="169"/>
      <c r="P59" s="7"/>
      <c r="Q59" s="94"/>
      <c r="R59" s="95"/>
      <c r="S59" s="95"/>
      <c r="T59" s="7"/>
      <c r="U59" s="7"/>
      <c r="V59" s="7"/>
      <c r="W59" s="7"/>
      <c r="X59" s="7"/>
      <c r="Z59" s="8" t="e">
        <f>VLOOKUP(M59,Personalização!$I$7:$J$16,2,FALSE)</f>
        <v>#N/A</v>
      </c>
    </row>
    <row r="60" spans="6:26" x14ac:dyDescent="0.2">
      <c r="F60" s="76" t="str">
        <f>IF(Personalização!B61=0,"",Personalização!B61)</f>
        <v/>
      </c>
      <c r="G60" s="77"/>
      <c r="H60" s="169"/>
      <c r="I60" s="169"/>
      <c r="J60" s="78"/>
      <c r="K60" s="167"/>
      <c r="L60" s="77"/>
      <c r="M60" s="169"/>
      <c r="N60" s="169"/>
      <c r="P60" s="7"/>
      <c r="Q60" s="94"/>
      <c r="R60" s="95"/>
      <c r="S60" s="95"/>
      <c r="T60" s="7"/>
      <c r="U60" s="7"/>
      <c r="V60" s="7"/>
      <c r="W60" s="7"/>
      <c r="X60" s="7"/>
      <c r="Z60" s="8" t="e">
        <f>VLOOKUP(M60,Personalização!$I$7:$J$16,2,FALSE)</f>
        <v>#N/A</v>
      </c>
    </row>
    <row r="61" spans="6:26" x14ac:dyDescent="0.2">
      <c r="F61" s="76" t="str">
        <f>IF(Personalização!B62=0,"",Personalização!B62)</f>
        <v/>
      </c>
      <c r="G61" s="77"/>
      <c r="H61" s="169"/>
      <c r="I61" s="169"/>
      <c r="J61" s="78"/>
      <c r="K61" s="167"/>
      <c r="L61" s="77"/>
      <c r="M61" s="169"/>
      <c r="N61" s="169"/>
      <c r="P61" s="7"/>
      <c r="Q61" s="94"/>
      <c r="R61" s="95"/>
      <c r="S61" s="95"/>
      <c r="T61" s="7"/>
      <c r="U61" s="7"/>
      <c r="V61" s="7"/>
      <c r="W61" s="7"/>
      <c r="X61" s="7"/>
      <c r="Z61" s="8" t="e">
        <f>VLOOKUP(M61,Personalização!$I$7:$J$16,2,FALSE)</f>
        <v>#N/A</v>
      </c>
    </row>
    <row r="62" spans="6:26" x14ac:dyDescent="0.2">
      <c r="F62" s="76" t="str">
        <f>IF(Personalização!B63=0,"",Personalização!B63)</f>
        <v/>
      </c>
      <c r="G62" s="77"/>
      <c r="H62" s="169"/>
      <c r="I62" s="169"/>
      <c r="J62" s="78"/>
      <c r="K62" s="167"/>
      <c r="L62" s="77"/>
      <c r="M62" s="169"/>
      <c r="N62" s="169"/>
      <c r="P62" s="7"/>
      <c r="Q62" s="94"/>
      <c r="R62" s="95"/>
      <c r="S62" s="95"/>
      <c r="T62" s="7"/>
      <c r="U62" s="7"/>
      <c r="V62" s="7"/>
      <c r="W62" s="7"/>
      <c r="X62" s="7"/>
      <c r="Z62" s="8" t="e">
        <f>VLOOKUP(M62,Personalização!$I$7:$J$16,2,FALSE)</f>
        <v>#N/A</v>
      </c>
    </row>
    <row r="63" spans="6:26" x14ac:dyDescent="0.2">
      <c r="F63" s="76" t="str">
        <f>IF(Personalização!B64=0,"",Personalização!B64)</f>
        <v/>
      </c>
      <c r="G63" s="77"/>
      <c r="H63" s="169"/>
      <c r="I63" s="169"/>
      <c r="J63" s="78"/>
      <c r="K63" s="167"/>
      <c r="L63" s="77"/>
      <c r="M63" s="169"/>
      <c r="N63" s="169"/>
      <c r="P63" s="7"/>
      <c r="Q63" s="94"/>
      <c r="R63" s="95"/>
      <c r="S63" s="95"/>
      <c r="T63" s="7"/>
      <c r="U63" s="7"/>
      <c r="V63" s="7"/>
      <c r="W63" s="7"/>
      <c r="X63" s="7"/>
      <c r="Z63" s="8" t="e">
        <f>VLOOKUP(M63,Personalização!$I$7:$J$16,2,FALSE)</f>
        <v>#N/A</v>
      </c>
    </row>
    <row r="64" spans="6:26" x14ac:dyDescent="0.2">
      <c r="F64" s="76" t="str">
        <f>IF(Personalização!B65=0,"",Personalização!B65)</f>
        <v/>
      </c>
      <c r="G64" s="77"/>
      <c r="H64" s="169"/>
      <c r="I64" s="169"/>
      <c r="J64" s="78"/>
      <c r="K64" s="167"/>
      <c r="L64" s="77"/>
      <c r="M64" s="169"/>
      <c r="N64" s="169"/>
      <c r="P64" s="7"/>
      <c r="Q64" s="94"/>
      <c r="R64" s="95"/>
      <c r="S64" s="95"/>
      <c r="T64" s="7"/>
      <c r="U64" s="7"/>
      <c r="V64" s="7"/>
      <c r="W64" s="7"/>
      <c r="X64" s="7"/>
      <c r="Z64" s="8" t="e">
        <f>VLOOKUP(M64,Personalização!$I$7:$J$16,2,FALSE)</f>
        <v>#N/A</v>
      </c>
    </row>
    <row r="65" spans="6:26" x14ac:dyDescent="0.2">
      <c r="F65" s="76" t="str">
        <f>IF(Personalização!B66=0,"",Personalização!B66)</f>
        <v/>
      </c>
      <c r="G65" s="77"/>
      <c r="H65" s="169"/>
      <c r="I65" s="169"/>
      <c r="J65" s="78"/>
      <c r="K65" s="167"/>
      <c r="L65" s="77"/>
      <c r="M65" s="169"/>
      <c r="N65" s="169"/>
      <c r="P65" s="7"/>
      <c r="Q65" s="94"/>
      <c r="R65" s="95"/>
      <c r="S65" s="95"/>
      <c r="T65" s="7"/>
      <c r="U65" s="7"/>
      <c r="V65" s="7"/>
      <c r="W65" s="7"/>
      <c r="X65" s="7"/>
      <c r="Z65" s="8" t="e">
        <f>VLOOKUP(M65,Personalização!$I$7:$J$16,2,FALSE)</f>
        <v>#N/A</v>
      </c>
    </row>
    <row r="66" spans="6:26" x14ac:dyDescent="0.2">
      <c r="F66" s="76" t="str">
        <f>IF(Personalização!B67=0,"",Personalização!B67)</f>
        <v/>
      </c>
      <c r="G66" s="77"/>
      <c r="H66" s="169"/>
      <c r="I66" s="169"/>
      <c r="J66" s="78"/>
      <c r="K66" s="167"/>
      <c r="L66" s="77"/>
      <c r="M66" s="169"/>
      <c r="N66" s="169"/>
      <c r="P66" s="7"/>
      <c r="Q66" s="94"/>
      <c r="R66" s="95"/>
      <c r="S66" s="95"/>
      <c r="T66" s="7"/>
      <c r="U66" s="7"/>
      <c r="V66" s="7"/>
      <c r="W66" s="7"/>
      <c r="X66" s="7"/>
      <c r="Z66" s="8" t="e">
        <f>VLOOKUP(M66,Personalização!$I$7:$J$16,2,FALSE)</f>
        <v>#N/A</v>
      </c>
    </row>
    <row r="67" spans="6:26" x14ac:dyDescent="0.2">
      <c r="F67" s="76" t="str">
        <f>IF(Personalização!B68=0,"",Personalização!B68)</f>
        <v/>
      </c>
      <c r="G67" s="77"/>
      <c r="H67" s="169"/>
      <c r="I67" s="169"/>
      <c r="J67" s="78"/>
      <c r="K67" s="167"/>
      <c r="L67" s="77"/>
      <c r="M67" s="169"/>
      <c r="N67" s="169"/>
      <c r="P67" s="7"/>
      <c r="Q67" s="94"/>
      <c r="R67" s="95"/>
      <c r="S67" s="95"/>
      <c r="T67" s="7"/>
      <c r="U67" s="7"/>
      <c r="V67" s="7"/>
      <c r="W67" s="7"/>
      <c r="X67" s="7"/>
      <c r="Z67" s="8" t="e">
        <f>VLOOKUP(M67,Personalização!$I$7:$J$16,2,FALSE)</f>
        <v>#N/A</v>
      </c>
    </row>
    <row r="68" spans="6:26" x14ac:dyDescent="0.2">
      <c r="F68" s="76" t="str">
        <f>IF(Personalização!B69=0,"",Personalização!B69)</f>
        <v/>
      </c>
      <c r="G68" s="77"/>
      <c r="H68" s="169"/>
      <c r="I68" s="169"/>
      <c r="J68" s="78"/>
      <c r="K68" s="167"/>
      <c r="L68" s="77"/>
      <c r="M68" s="169"/>
      <c r="N68" s="169"/>
      <c r="P68" s="7"/>
      <c r="Q68" s="94"/>
      <c r="R68" s="95"/>
      <c r="S68" s="95"/>
      <c r="T68" s="7"/>
      <c r="U68" s="7"/>
      <c r="V68" s="7"/>
      <c r="W68" s="7"/>
      <c r="X68" s="7"/>
      <c r="Z68" s="8" t="e">
        <f>VLOOKUP(M68,Personalização!$I$7:$J$16,2,FALSE)</f>
        <v>#N/A</v>
      </c>
    </row>
    <row r="69" spans="6:26" x14ac:dyDescent="0.2">
      <c r="F69" s="76" t="str">
        <f>IF(Personalização!B70=0,"",Personalização!B70)</f>
        <v/>
      </c>
      <c r="G69" s="77"/>
      <c r="H69" s="169"/>
      <c r="I69" s="169"/>
      <c r="J69" s="78"/>
      <c r="K69" s="167"/>
      <c r="L69" s="77"/>
      <c r="M69" s="169"/>
      <c r="N69" s="169"/>
      <c r="P69" s="7"/>
      <c r="Q69" s="94"/>
      <c r="R69" s="95"/>
      <c r="S69" s="95"/>
      <c r="T69" s="7"/>
      <c r="U69" s="7"/>
      <c r="V69" s="7"/>
      <c r="W69" s="7"/>
      <c r="X69" s="7"/>
      <c r="Z69" s="8" t="e">
        <f>VLOOKUP(M69,Personalização!$I$7:$J$16,2,FALSE)</f>
        <v>#N/A</v>
      </c>
    </row>
    <row r="70" spans="6:26" x14ac:dyDescent="0.2">
      <c r="F70" s="76" t="str">
        <f>IF(Personalização!B71=0,"",Personalização!B71)</f>
        <v/>
      </c>
      <c r="G70" s="77"/>
      <c r="H70" s="169"/>
      <c r="I70" s="169"/>
      <c r="J70" s="78"/>
      <c r="K70" s="167"/>
      <c r="L70" s="77"/>
      <c r="M70" s="169"/>
      <c r="N70" s="169"/>
      <c r="P70" s="7"/>
      <c r="Q70" s="94"/>
      <c r="R70" s="95"/>
      <c r="S70" s="95"/>
      <c r="T70" s="7"/>
      <c r="U70" s="7"/>
      <c r="V70" s="7"/>
      <c r="W70" s="7"/>
      <c r="X70" s="7"/>
      <c r="Z70" s="8" t="e">
        <f>VLOOKUP(M70,Personalização!$I$7:$J$16,2,FALSE)</f>
        <v>#N/A</v>
      </c>
    </row>
    <row r="71" spans="6:26" x14ac:dyDescent="0.2">
      <c r="F71" s="76" t="str">
        <f>IF(Personalização!B72=0,"",Personalização!B72)</f>
        <v/>
      </c>
      <c r="G71" s="77"/>
      <c r="H71" s="169"/>
      <c r="I71" s="169"/>
      <c r="J71" s="78"/>
      <c r="K71" s="167"/>
      <c r="L71" s="77"/>
      <c r="M71" s="169"/>
      <c r="N71" s="169"/>
      <c r="P71" s="7"/>
      <c r="Q71" s="94"/>
      <c r="R71" s="95"/>
      <c r="S71" s="95"/>
      <c r="T71" s="7"/>
      <c r="U71" s="7"/>
      <c r="V71" s="7"/>
      <c r="W71" s="7"/>
      <c r="X71" s="7"/>
      <c r="Z71" s="8" t="e">
        <f>VLOOKUP(M71,Personalização!$I$7:$J$16,2,FALSE)</f>
        <v>#N/A</v>
      </c>
    </row>
    <row r="72" spans="6:26" x14ac:dyDescent="0.2">
      <c r="F72" s="76" t="str">
        <f>IF(Personalização!B73=0,"",Personalização!B73)</f>
        <v/>
      </c>
      <c r="G72" s="77"/>
      <c r="H72" s="169"/>
      <c r="I72" s="169"/>
      <c r="J72" s="78"/>
      <c r="K72" s="167"/>
      <c r="L72" s="77"/>
      <c r="M72" s="169"/>
      <c r="N72" s="169"/>
      <c r="P72" s="7"/>
      <c r="Q72" s="94"/>
      <c r="R72" s="95"/>
      <c r="S72" s="95"/>
      <c r="T72" s="7"/>
      <c r="U72" s="7"/>
      <c r="V72" s="7"/>
      <c r="W72" s="7"/>
      <c r="X72" s="7"/>
      <c r="Z72" s="8" t="e">
        <f>VLOOKUP(M72,Personalização!$I$7:$J$16,2,FALSE)</f>
        <v>#N/A</v>
      </c>
    </row>
    <row r="73" spans="6:26" x14ac:dyDescent="0.2">
      <c r="F73" s="76" t="str">
        <f>IF(Personalização!B74=0,"",Personalização!B74)</f>
        <v/>
      </c>
      <c r="G73" s="77"/>
      <c r="H73" s="169"/>
      <c r="I73" s="169"/>
      <c r="J73" s="78"/>
      <c r="K73" s="167"/>
      <c r="L73" s="77"/>
      <c r="M73" s="169"/>
      <c r="N73" s="169"/>
      <c r="P73" s="7"/>
      <c r="Q73" s="94"/>
      <c r="R73" s="95"/>
      <c r="S73" s="95"/>
      <c r="T73" s="7"/>
      <c r="U73" s="7"/>
      <c r="V73" s="7"/>
      <c r="W73" s="7"/>
      <c r="X73" s="7"/>
      <c r="Z73" s="8" t="e">
        <f>VLOOKUP(M73,Personalização!$I$7:$J$16,2,FALSE)</f>
        <v>#N/A</v>
      </c>
    </row>
    <row r="74" spans="6:26" x14ac:dyDescent="0.2">
      <c r="F74" s="76" t="str">
        <f>IF(Personalização!B75=0,"",Personalização!B75)</f>
        <v/>
      </c>
      <c r="G74" s="77"/>
      <c r="H74" s="169"/>
      <c r="I74" s="169"/>
      <c r="J74" s="78"/>
      <c r="K74" s="167"/>
      <c r="L74" s="77"/>
      <c r="M74" s="169"/>
      <c r="N74" s="169"/>
      <c r="P74" s="7"/>
      <c r="Q74" s="94"/>
      <c r="R74" s="95"/>
      <c r="S74" s="95"/>
      <c r="T74" s="7"/>
      <c r="U74" s="7"/>
      <c r="V74" s="7"/>
      <c r="W74" s="7"/>
      <c r="X74" s="7"/>
      <c r="Z74" s="8" t="e">
        <f>VLOOKUP(M74,Personalização!$I$7:$J$16,2,FALSE)</f>
        <v>#N/A</v>
      </c>
    </row>
    <row r="75" spans="6:26" x14ac:dyDescent="0.2">
      <c r="F75" s="76" t="str">
        <f>IF(Personalização!B76=0,"",Personalização!B76)</f>
        <v/>
      </c>
      <c r="G75" s="77"/>
      <c r="H75" s="169"/>
      <c r="I75" s="169"/>
      <c r="J75" s="78"/>
      <c r="K75" s="167"/>
      <c r="L75" s="77"/>
      <c r="M75" s="169"/>
      <c r="N75" s="169"/>
      <c r="P75" s="7"/>
      <c r="Q75" s="94"/>
      <c r="R75" s="95"/>
      <c r="S75" s="95"/>
      <c r="T75" s="7"/>
      <c r="U75" s="7"/>
      <c r="V75" s="7"/>
      <c r="W75" s="7"/>
      <c r="X75" s="7"/>
      <c r="Z75" s="8" t="e">
        <f>VLOOKUP(M75,Personalização!$I$7:$J$16,2,FALSE)</f>
        <v>#N/A</v>
      </c>
    </row>
    <row r="76" spans="6:26" x14ac:dyDescent="0.2">
      <c r="F76" s="76" t="str">
        <f>IF(Personalização!B77=0,"",Personalização!B77)</f>
        <v/>
      </c>
      <c r="G76" s="77"/>
      <c r="H76" s="169"/>
      <c r="I76" s="169"/>
      <c r="J76" s="78"/>
      <c r="K76" s="167"/>
      <c r="L76" s="77"/>
      <c r="M76" s="169"/>
      <c r="N76" s="169"/>
      <c r="P76" s="7"/>
      <c r="Q76" s="94"/>
      <c r="R76" s="95"/>
      <c r="S76" s="95"/>
      <c r="T76" s="7"/>
      <c r="U76" s="7"/>
      <c r="V76" s="7"/>
      <c r="W76" s="7"/>
      <c r="X76" s="7"/>
      <c r="Z76" s="8" t="e">
        <f>VLOOKUP(M76,Personalização!$I$7:$J$16,2,FALSE)</f>
        <v>#N/A</v>
      </c>
    </row>
    <row r="77" spans="6:26" x14ac:dyDescent="0.2">
      <c r="F77" s="76" t="str">
        <f>IF(Personalização!B78=0,"",Personalização!B78)</f>
        <v/>
      </c>
      <c r="G77" s="77"/>
      <c r="H77" s="169"/>
      <c r="I77" s="169"/>
      <c r="J77" s="78"/>
      <c r="K77" s="167"/>
      <c r="L77" s="77"/>
      <c r="M77" s="169"/>
      <c r="N77" s="169"/>
      <c r="P77" s="7"/>
      <c r="Q77" s="94"/>
      <c r="R77" s="95"/>
      <c r="S77" s="95"/>
      <c r="T77" s="7"/>
      <c r="U77" s="7"/>
      <c r="V77" s="7"/>
      <c r="W77" s="7"/>
      <c r="X77" s="7"/>
      <c r="Z77" s="8" t="e">
        <f>VLOOKUP(M77,Personalização!$I$7:$J$16,2,FALSE)</f>
        <v>#N/A</v>
      </c>
    </row>
    <row r="78" spans="6:26" x14ac:dyDescent="0.2">
      <c r="F78" s="76" t="str">
        <f>IF(Personalização!B79=0,"",Personalização!B79)</f>
        <v/>
      </c>
      <c r="G78" s="77"/>
      <c r="H78" s="169"/>
      <c r="I78" s="169"/>
      <c r="J78" s="78"/>
      <c r="K78" s="167"/>
      <c r="L78" s="77"/>
      <c r="M78" s="169"/>
      <c r="N78" s="169"/>
      <c r="P78" s="7"/>
      <c r="Q78" s="94"/>
      <c r="R78" s="95"/>
      <c r="S78" s="95"/>
      <c r="T78" s="7"/>
      <c r="U78" s="7"/>
      <c r="V78" s="7"/>
      <c r="W78" s="7"/>
      <c r="X78" s="7"/>
      <c r="Z78" s="8" t="e">
        <f>VLOOKUP(M78,Personalização!$I$7:$J$16,2,FALSE)</f>
        <v>#N/A</v>
      </c>
    </row>
    <row r="79" spans="6:26" x14ac:dyDescent="0.2">
      <c r="F79" s="76" t="str">
        <f>IF(Personalização!B80=0,"",Personalização!B80)</f>
        <v/>
      </c>
      <c r="G79" s="77"/>
      <c r="H79" s="169"/>
      <c r="I79" s="169"/>
      <c r="J79" s="78"/>
      <c r="K79" s="167"/>
      <c r="L79" s="77"/>
      <c r="M79" s="169"/>
      <c r="N79" s="169"/>
      <c r="P79" s="7"/>
      <c r="Q79" s="94"/>
      <c r="R79" s="95"/>
      <c r="S79" s="95"/>
      <c r="T79" s="7"/>
      <c r="U79" s="7"/>
      <c r="V79" s="7"/>
      <c r="W79" s="7"/>
      <c r="X79" s="7"/>
      <c r="Z79" s="8" t="e">
        <f>VLOOKUP(M79,Personalização!$I$7:$J$16,2,FALSE)</f>
        <v>#N/A</v>
      </c>
    </row>
    <row r="80" spans="6:26" x14ac:dyDescent="0.2">
      <c r="F80" s="76" t="str">
        <f>IF(Personalização!B81=0,"",Personalização!B81)</f>
        <v/>
      </c>
      <c r="G80" s="77"/>
      <c r="H80" s="169"/>
      <c r="I80" s="169"/>
      <c r="J80" s="78"/>
      <c r="K80" s="167"/>
      <c r="L80" s="77"/>
      <c r="M80" s="169"/>
      <c r="N80" s="169"/>
      <c r="P80" s="7"/>
      <c r="Q80" s="94"/>
      <c r="R80" s="95"/>
      <c r="S80" s="95"/>
      <c r="T80" s="7"/>
      <c r="U80" s="7"/>
      <c r="V80" s="7"/>
      <c r="W80" s="7"/>
      <c r="X80" s="7"/>
      <c r="Z80" s="8" t="e">
        <f>VLOOKUP(M80,Personalização!$I$7:$J$16,2,FALSE)</f>
        <v>#N/A</v>
      </c>
    </row>
    <row r="81" spans="6:26" x14ac:dyDescent="0.2">
      <c r="F81" s="76" t="str">
        <f>IF(Personalização!B82=0,"",Personalização!B82)</f>
        <v/>
      </c>
      <c r="G81" s="77"/>
      <c r="H81" s="169"/>
      <c r="I81" s="169"/>
      <c r="J81" s="78"/>
      <c r="K81" s="167"/>
      <c r="L81" s="77"/>
      <c r="M81" s="169"/>
      <c r="N81" s="169"/>
      <c r="P81" s="7"/>
      <c r="Q81" s="94"/>
      <c r="R81" s="95"/>
      <c r="S81" s="95"/>
      <c r="T81" s="7"/>
      <c r="U81" s="7"/>
      <c r="V81" s="7"/>
      <c r="W81" s="7"/>
      <c r="X81" s="7"/>
      <c r="Z81" s="8" t="e">
        <f>VLOOKUP(M81,Personalização!$I$7:$J$16,2,FALSE)</f>
        <v>#N/A</v>
      </c>
    </row>
    <row r="82" spans="6:26" x14ac:dyDescent="0.2">
      <c r="F82" s="76" t="str">
        <f>IF(Personalização!B83=0,"",Personalização!B83)</f>
        <v/>
      </c>
      <c r="G82" s="77"/>
      <c r="H82" s="169"/>
      <c r="I82" s="169"/>
      <c r="J82" s="78"/>
      <c r="K82" s="167"/>
      <c r="L82" s="77"/>
      <c r="M82" s="169"/>
      <c r="N82" s="169"/>
      <c r="P82" s="7"/>
      <c r="Q82" s="94"/>
      <c r="R82" s="95"/>
      <c r="S82" s="95"/>
      <c r="T82" s="7"/>
      <c r="U82" s="7"/>
      <c r="V82" s="7"/>
      <c r="W82" s="7"/>
      <c r="X82" s="7"/>
      <c r="Z82" s="8" t="e">
        <f>VLOOKUP(M82,Personalização!$I$7:$J$16,2,FALSE)</f>
        <v>#N/A</v>
      </c>
    </row>
    <row r="83" spans="6:26" x14ac:dyDescent="0.2">
      <c r="F83" s="76" t="str">
        <f>IF(Personalização!B84=0,"",Personalização!B84)</f>
        <v/>
      </c>
      <c r="G83" s="77"/>
      <c r="H83" s="169"/>
      <c r="I83" s="169"/>
      <c r="J83" s="78"/>
      <c r="K83" s="167"/>
      <c r="L83" s="77"/>
      <c r="M83" s="169"/>
      <c r="N83" s="169"/>
      <c r="P83" s="7"/>
      <c r="Q83" s="94"/>
      <c r="R83" s="95"/>
      <c r="S83" s="95"/>
      <c r="T83" s="7"/>
      <c r="U83" s="7"/>
      <c r="V83" s="7"/>
      <c r="W83" s="7"/>
      <c r="X83" s="7"/>
      <c r="Z83" s="8" t="e">
        <f>VLOOKUP(M83,Personalização!$I$7:$J$16,2,FALSE)</f>
        <v>#N/A</v>
      </c>
    </row>
    <row r="84" spans="6:26" x14ac:dyDescent="0.2">
      <c r="F84" s="76" t="str">
        <f>IF(Personalização!B85=0,"",Personalização!B85)</f>
        <v/>
      </c>
      <c r="G84" s="77"/>
      <c r="H84" s="169"/>
      <c r="I84" s="169"/>
      <c r="J84" s="78"/>
      <c r="K84" s="167"/>
      <c r="L84" s="77"/>
      <c r="M84" s="169"/>
      <c r="N84" s="169"/>
      <c r="P84" s="7"/>
      <c r="Q84" s="94"/>
      <c r="R84" s="95"/>
      <c r="S84" s="95"/>
      <c r="T84" s="7"/>
      <c r="U84" s="7"/>
      <c r="V84" s="7"/>
      <c r="W84" s="7"/>
      <c r="X84" s="7"/>
      <c r="Z84" s="8" t="e">
        <f>VLOOKUP(M84,Personalização!$I$7:$J$16,2,FALSE)</f>
        <v>#N/A</v>
      </c>
    </row>
    <row r="85" spans="6:26" x14ac:dyDescent="0.2">
      <c r="F85" s="76" t="str">
        <f>IF(Personalização!B86=0,"",Personalização!B86)</f>
        <v/>
      </c>
      <c r="G85" s="77"/>
      <c r="H85" s="169"/>
      <c r="I85" s="169"/>
      <c r="J85" s="78"/>
      <c r="K85" s="167"/>
      <c r="L85" s="77"/>
      <c r="M85" s="169"/>
      <c r="N85" s="169"/>
      <c r="P85" s="7"/>
      <c r="Q85" s="94"/>
      <c r="R85" s="95"/>
      <c r="S85" s="95"/>
      <c r="T85" s="7"/>
      <c r="U85" s="7"/>
      <c r="V85" s="7"/>
      <c r="W85" s="7"/>
      <c r="X85" s="7"/>
      <c r="Z85" s="8" t="e">
        <f>VLOOKUP(M85,Personalização!$I$7:$J$16,2,FALSE)</f>
        <v>#N/A</v>
      </c>
    </row>
    <row r="86" spans="6:26" x14ac:dyDescent="0.2">
      <c r="F86" s="76" t="str">
        <f>IF(Personalização!B87=0,"",Personalização!B87)</f>
        <v/>
      </c>
      <c r="G86" s="77"/>
      <c r="H86" s="169"/>
      <c r="I86" s="169"/>
      <c r="J86" s="78"/>
      <c r="K86" s="167"/>
      <c r="L86" s="77"/>
      <c r="M86" s="169"/>
      <c r="N86" s="169"/>
      <c r="P86" s="7"/>
      <c r="Q86" s="94"/>
      <c r="R86" s="95"/>
      <c r="S86" s="95"/>
      <c r="T86" s="7"/>
      <c r="U86" s="7"/>
      <c r="V86" s="7"/>
      <c r="W86" s="7"/>
      <c r="X86" s="7"/>
      <c r="Z86" s="8" t="e">
        <f>VLOOKUP(M86,Personalização!$I$7:$J$16,2,FALSE)</f>
        <v>#N/A</v>
      </c>
    </row>
    <row r="87" spans="6:26" x14ac:dyDescent="0.2">
      <c r="F87" s="76" t="str">
        <f>IF(Personalização!B88=0,"",Personalização!B88)</f>
        <v/>
      </c>
      <c r="G87" s="77"/>
      <c r="H87" s="169"/>
      <c r="I87" s="169"/>
      <c r="J87" s="78"/>
      <c r="K87" s="167"/>
      <c r="L87" s="77"/>
      <c r="M87" s="169"/>
      <c r="N87" s="169"/>
      <c r="P87" s="7"/>
      <c r="Q87" s="94"/>
      <c r="R87" s="95"/>
      <c r="S87" s="95"/>
      <c r="T87" s="7"/>
      <c r="U87" s="7"/>
      <c r="V87" s="7"/>
      <c r="W87" s="7"/>
      <c r="X87" s="7"/>
      <c r="Z87" s="8" t="e">
        <f>VLOOKUP(M87,Personalização!$I$7:$J$16,2,FALSE)</f>
        <v>#N/A</v>
      </c>
    </row>
    <row r="88" spans="6:26" x14ac:dyDescent="0.2">
      <c r="F88" s="76" t="str">
        <f>IF(Personalização!B89=0,"",Personalização!B89)</f>
        <v/>
      </c>
      <c r="G88" s="77"/>
      <c r="H88" s="169"/>
      <c r="I88" s="169"/>
      <c r="J88" s="78"/>
      <c r="K88" s="167"/>
      <c r="L88" s="77"/>
      <c r="M88" s="169"/>
      <c r="N88" s="169"/>
      <c r="P88" s="7"/>
      <c r="Q88" s="94"/>
      <c r="R88" s="95"/>
      <c r="S88" s="95"/>
      <c r="T88" s="7"/>
      <c r="U88" s="7"/>
      <c r="V88" s="7"/>
      <c r="W88" s="7"/>
      <c r="X88" s="7"/>
      <c r="Z88" s="8" t="e">
        <f>VLOOKUP(M88,Personalização!$I$7:$J$16,2,FALSE)</f>
        <v>#N/A</v>
      </c>
    </row>
    <row r="89" spans="6:26" x14ac:dyDescent="0.2">
      <c r="F89" s="76" t="str">
        <f>IF(Personalização!B90=0,"",Personalização!B90)</f>
        <v/>
      </c>
      <c r="G89" s="77"/>
      <c r="H89" s="169"/>
      <c r="I89" s="169"/>
      <c r="J89" s="78"/>
      <c r="K89" s="167"/>
      <c r="L89" s="77"/>
      <c r="M89" s="169"/>
      <c r="N89" s="169"/>
      <c r="P89" s="7"/>
      <c r="Q89" s="94"/>
      <c r="R89" s="95"/>
      <c r="S89" s="95"/>
      <c r="T89" s="7"/>
      <c r="U89" s="7"/>
      <c r="V89" s="7"/>
      <c r="W89" s="7"/>
      <c r="X89" s="7"/>
      <c r="Z89" s="8" t="e">
        <f>VLOOKUP(M89,Personalização!$I$7:$J$16,2,FALSE)</f>
        <v>#N/A</v>
      </c>
    </row>
    <row r="90" spans="6:26" x14ac:dyDescent="0.2">
      <c r="F90" s="76" t="str">
        <f>IF(Personalização!B91=0,"",Personalização!B91)</f>
        <v/>
      </c>
      <c r="G90" s="77"/>
      <c r="H90" s="169"/>
      <c r="I90" s="169"/>
      <c r="J90" s="78"/>
      <c r="K90" s="167"/>
      <c r="L90" s="77"/>
      <c r="M90" s="169"/>
      <c r="N90" s="169"/>
      <c r="P90" s="7"/>
      <c r="Q90" s="94"/>
      <c r="R90" s="95"/>
      <c r="S90" s="95"/>
      <c r="T90" s="7"/>
      <c r="U90" s="7"/>
      <c r="V90" s="7"/>
      <c r="W90" s="7"/>
      <c r="X90" s="7"/>
      <c r="Z90" s="8" t="e">
        <f>VLOOKUP(M90,Personalização!$I$7:$J$16,2,FALSE)</f>
        <v>#N/A</v>
      </c>
    </row>
    <row r="91" spans="6:26" x14ac:dyDescent="0.2">
      <c r="F91" s="76" t="str">
        <f>IF(Personalização!B92=0,"",Personalização!B92)</f>
        <v/>
      </c>
      <c r="G91" s="77"/>
      <c r="H91" s="169"/>
      <c r="I91" s="169"/>
      <c r="J91" s="78"/>
      <c r="K91" s="167"/>
      <c r="L91" s="77"/>
      <c r="M91" s="169"/>
      <c r="N91" s="169"/>
      <c r="P91" s="7"/>
      <c r="Q91" s="94"/>
      <c r="R91" s="95"/>
      <c r="S91" s="95"/>
      <c r="T91" s="7"/>
      <c r="U91" s="7"/>
      <c r="V91" s="7"/>
      <c r="W91" s="7"/>
      <c r="X91" s="7"/>
      <c r="Z91" s="8" t="e">
        <f>VLOOKUP(M91,Personalização!$I$7:$J$16,2,FALSE)</f>
        <v>#N/A</v>
      </c>
    </row>
    <row r="92" spans="6:26" x14ac:dyDescent="0.2">
      <c r="F92" s="76" t="str">
        <f>IF(Personalização!B93=0,"",Personalização!B93)</f>
        <v/>
      </c>
      <c r="G92" s="77"/>
      <c r="H92" s="169"/>
      <c r="I92" s="169"/>
      <c r="J92" s="78"/>
      <c r="K92" s="167"/>
      <c r="L92" s="77"/>
      <c r="M92" s="169"/>
      <c r="N92" s="169"/>
      <c r="P92" s="7"/>
      <c r="Q92" s="94"/>
      <c r="R92" s="95"/>
      <c r="S92" s="95"/>
      <c r="T92" s="7"/>
      <c r="U92" s="7"/>
      <c r="V92" s="7"/>
      <c r="W92" s="7"/>
      <c r="X92" s="7"/>
      <c r="Z92" s="8" t="e">
        <f>VLOOKUP(M92,Personalização!$I$7:$J$16,2,FALSE)</f>
        <v>#N/A</v>
      </c>
    </row>
    <row r="93" spans="6:26" x14ac:dyDescent="0.2">
      <c r="F93" s="76" t="str">
        <f>IF(Personalização!B94=0,"",Personalização!B94)</f>
        <v/>
      </c>
      <c r="G93" s="77"/>
      <c r="H93" s="169"/>
      <c r="I93" s="169"/>
      <c r="J93" s="78"/>
      <c r="K93" s="167"/>
      <c r="L93" s="77"/>
      <c r="M93" s="169"/>
      <c r="N93" s="169"/>
      <c r="P93" s="7"/>
      <c r="Q93" s="94"/>
      <c r="R93" s="95"/>
      <c r="S93" s="95"/>
      <c r="T93" s="7"/>
      <c r="U93" s="7"/>
      <c r="V93" s="7"/>
      <c r="W93" s="7"/>
      <c r="X93" s="7"/>
      <c r="Z93" s="8" t="e">
        <f>VLOOKUP(M93,Personalização!$I$7:$J$16,2,FALSE)</f>
        <v>#N/A</v>
      </c>
    </row>
    <row r="94" spans="6:26" x14ac:dyDescent="0.2">
      <c r="F94" s="76" t="str">
        <f>IF(Personalização!B95=0,"",Personalização!B95)</f>
        <v/>
      </c>
      <c r="G94" s="77"/>
      <c r="H94" s="169"/>
      <c r="I94" s="169"/>
      <c r="J94" s="78"/>
      <c r="K94" s="167"/>
      <c r="L94" s="77"/>
      <c r="M94" s="169"/>
      <c r="N94" s="169"/>
      <c r="P94" s="7"/>
      <c r="Q94" s="94"/>
      <c r="R94" s="95"/>
      <c r="S94" s="95"/>
      <c r="T94" s="7"/>
      <c r="U94" s="7"/>
      <c r="V94" s="7"/>
      <c r="W94" s="7"/>
      <c r="X94" s="7"/>
      <c r="Z94" s="8" t="e">
        <f>VLOOKUP(M94,Personalização!$I$7:$J$16,2,FALSE)</f>
        <v>#N/A</v>
      </c>
    </row>
    <row r="95" spans="6:26" x14ac:dyDescent="0.2">
      <c r="F95" s="76" t="str">
        <f>IF(Personalização!B96=0,"",Personalização!B96)</f>
        <v/>
      </c>
      <c r="G95" s="77"/>
      <c r="H95" s="169"/>
      <c r="I95" s="169"/>
      <c r="J95" s="78"/>
      <c r="K95" s="167"/>
      <c r="L95" s="77"/>
      <c r="M95" s="169"/>
      <c r="N95" s="169"/>
      <c r="P95" s="7"/>
      <c r="Q95" s="94"/>
      <c r="R95" s="95"/>
      <c r="S95" s="95"/>
      <c r="T95" s="7"/>
      <c r="U95" s="7"/>
      <c r="V95" s="7"/>
      <c r="W95" s="7"/>
      <c r="X95" s="7"/>
      <c r="Z95" s="8" t="e">
        <f>VLOOKUP(M95,Personalização!$I$7:$J$16,2,FALSE)</f>
        <v>#N/A</v>
      </c>
    </row>
    <row r="96" spans="6:26" x14ac:dyDescent="0.2">
      <c r="F96" s="76" t="str">
        <f>IF(Personalização!B97=0,"",Personalização!B97)</f>
        <v/>
      </c>
      <c r="G96" s="77"/>
      <c r="H96" s="169"/>
      <c r="I96" s="169"/>
      <c r="J96" s="78"/>
      <c r="K96" s="167"/>
      <c r="L96" s="77"/>
      <c r="M96" s="169"/>
      <c r="N96" s="169"/>
      <c r="P96" s="7"/>
      <c r="Q96" s="94"/>
      <c r="R96" s="95"/>
      <c r="S96" s="95"/>
      <c r="T96" s="7"/>
      <c r="U96" s="7"/>
      <c r="V96" s="7"/>
      <c r="W96" s="7"/>
      <c r="X96" s="7"/>
      <c r="Z96" s="8" t="e">
        <f>VLOOKUP(M96,Personalização!$I$7:$J$16,2,FALSE)</f>
        <v>#N/A</v>
      </c>
    </row>
    <row r="97" spans="6:26" x14ac:dyDescent="0.2">
      <c r="F97" s="76" t="str">
        <f>IF(Personalização!B98=0,"",Personalização!B98)</f>
        <v/>
      </c>
      <c r="G97" s="77"/>
      <c r="H97" s="169"/>
      <c r="I97" s="169"/>
      <c r="J97" s="78"/>
      <c r="K97" s="167"/>
      <c r="L97" s="77"/>
      <c r="M97" s="169"/>
      <c r="N97" s="169"/>
      <c r="P97" s="7"/>
      <c r="Q97" s="94"/>
      <c r="R97" s="95"/>
      <c r="S97" s="95"/>
      <c r="T97" s="7"/>
      <c r="U97" s="7"/>
      <c r="V97" s="7"/>
      <c r="W97" s="7"/>
      <c r="X97" s="7"/>
      <c r="Z97" s="8" t="e">
        <f>VLOOKUP(M97,Personalização!$I$7:$J$16,2,FALSE)</f>
        <v>#N/A</v>
      </c>
    </row>
    <row r="98" spans="6:26" x14ac:dyDescent="0.2">
      <c r="F98" s="76" t="str">
        <f>IF(Personalização!B99=0,"",Personalização!B99)</f>
        <v/>
      </c>
      <c r="G98" s="77"/>
      <c r="H98" s="169"/>
      <c r="I98" s="169"/>
      <c r="J98" s="78"/>
      <c r="K98" s="167"/>
      <c r="L98" s="77"/>
      <c r="M98" s="169"/>
      <c r="N98" s="169"/>
      <c r="P98" s="7"/>
      <c r="Q98" s="94"/>
      <c r="R98" s="95"/>
      <c r="S98" s="95"/>
      <c r="T98" s="7"/>
      <c r="U98" s="7"/>
      <c r="V98" s="7"/>
      <c r="W98" s="7"/>
      <c r="X98" s="7"/>
      <c r="Z98" s="8" t="e">
        <f>VLOOKUP(M98,Personalização!$I$7:$J$16,2,FALSE)</f>
        <v>#N/A</v>
      </c>
    </row>
    <row r="99" spans="6:26" x14ac:dyDescent="0.2">
      <c r="F99" s="76" t="str">
        <f>IF(Personalização!B100=0,"",Personalização!B100)</f>
        <v/>
      </c>
      <c r="G99" s="77"/>
      <c r="H99" s="169"/>
      <c r="I99" s="169"/>
      <c r="J99" s="78"/>
      <c r="K99" s="167"/>
      <c r="L99" s="77"/>
      <c r="M99" s="169"/>
      <c r="N99" s="169"/>
      <c r="P99" s="7"/>
      <c r="Q99" s="94"/>
      <c r="R99" s="95"/>
      <c r="S99" s="95"/>
      <c r="T99" s="7"/>
      <c r="U99" s="7"/>
      <c r="V99" s="7"/>
      <c r="W99" s="7"/>
      <c r="X99" s="7"/>
      <c r="Z99" s="8" t="e">
        <f>VLOOKUP(M99,Personalização!$I$7:$J$16,2,FALSE)</f>
        <v>#N/A</v>
      </c>
    </row>
    <row r="100" spans="6:26" x14ac:dyDescent="0.2">
      <c r="F100" s="76" t="str">
        <f>IF(Personalização!B101=0,"",Personalização!B101)</f>
        <v/>
      </c>
      <c r="G100" s="77"/>
      <c r="H100" s="169"/>
      <c r="I100" s="169"/>
      <c r="J100" s="78"/>
      <c r="K100" s="167"/>
      <c r="L100" s="77"/>
      <c r="M100" s="169"/>
      <c r="N100" s="169"/>
      <c r="P100" s="7"/>
      <c r="Q100" s="94"/>
      <c r="R100" s="95"/>
      <c r="S100" s="95"/>
      <c r="T100" s="7"/>
      <c r="U100" s="7"/>
      <c r="V100" s="7"/>
      <c r="W100" s="7"/>
      <c r="X100" s="7"/>
      <c r="Z100" s="8" t="e">
        <f>VLOOKUP(M100,Personalização!$I$7:$J$16,2,FALSE)</f>
        <v>#N/A</v>
      </c>
    </row>
    <row r="101" spans="6:26" x14ac:dyDescent="0.2">
      <c r="F101" s="76" t="str">
        <f>IF(Personalização!B102=0,"",Personalização!B102)</f>
        <v/>
      </c>
      <c r="G101" s="77"/>
      <c r="H101" s="169"/>
      <c r="I101" s="169"/>
      <c r="J101" s="78"/>
      <c r="K101" s="167"/>
      <c r="L101" s="77"/>
      <c r="M101" s="169"/>
      <c r="N101" s="169"/>
      <c r="P101" s="7"/>
      <c r="Q101" s="94"/>
      <c r="R101" s="95"/>
      <c r="S101" s="95"/>
      <c r="T101" s="7"/>
      <c r="U101" s="7"/>
      <c r="V101" s="7"/>
      <c r="W101" s="7"/>
      <c r="X101" s="7"/>
      <c r="Z101" s="8" t="e">
        <f>VLOOKUP(M101,Personalização!$I$7:$J$16,2,FALSE)</f>
        <v>#N/A</v>
      </c>
    </row>
    <row r="102" spans="6:26" x14ac:dyDescent="0.2">
      <c r="F102" s="76" t="str">
        <f>IF(Personalização!B103=0,"",Personalização!B103)</f>
        <v/>
      </c>
      <c r="G102" s="77"/>
      <c r="H102" s="169"/>
      <c r="I102" s="169"/>
      <c r="J102" s="78"/>
      <c r="K102" s="167"/>
      <c r="L102" s="77"/>
      <c r="M102" s="169"/>
      <c r="N102" s="169"/>
      <c r="P102" s="7"/>
      <c r="Q102" s="94"/>
      <c r="R102" s="95"/>
      <c r="S102" s="95"/>
      <c r="T102" s="7"/>
      <c r="U102" s="7"/>
      <c r="V102" s="7"/>
      <c r="W102" s="7"/>
      <c r="X102" s="7"/>
      <c r="Z102" s="8" t="e">
        <f>VLOOKUP(M102,Personalização!$I$7:$J$16,2,FALSE)</f>
        <v>#N/A</v>
      </c>
    </row>
    <row r="103" spans="6:26" x14ac:dyDescent="0.2">
      <c r="F103" s="76"/>
      <c r="G103" s="77"/>
      <c r="H103" s="169"/>
      <c r="I103" s="169"/>
      <c r="J103" s="78"/>
      <c r="K103" s="167"/>
      <c r="L103" s="77"/>
      <c r="M103" s="169"/>
      <c r="N103" s="169"/>
      <c r="P103" s="7"/>
      <c r="Q103" s="94"/>
      <c r="R103" s="95"/>
      <c r="S103" s="95"/>
      <c r="T103" s="7"/>
      <c r="U103" s="7"/>
      <c r="V103" s="7"/>
      <c r="W103" s="7"/>
      <c r="X103" s="7"/>
      <c r="Z103" s="8" t="e">
        <f>VLOOKUP(M103,Personalização!$I$7:$J$16,2,FALSE)</f>
        <v>#N/A</v>
      </c>
    </row>
    <row r="104" spans="6:26" x14ac:dyDescent="0.2">
      <c r="F104" s="96"/>
      <c r="K104" s="167"/>
      <c r="L104" s="77"/>
      <c r="M104" s="169"/>
      <c r="N104" s="169"/>
      <c r="P104" s="7"/>
      <c r="Q104" s="94"/>
      <c r="R104" s="95"/>
      <c r="S104" s="95"/>
      <c r="T104" s="7"/>
      <c r="U104" s="7"/>
      <c r="V104" s="7"/>
      <c r="W104" s="7"/>
      <c r="X104" s="7"/>
      <c r="Z104" s="8" t="e">
        <f>VLOOKUP(M104,Personalização!$I$7:$J$16,2,FALSE)</f>
        <v>#N/A</v>
      </c>
    </row>
    <row r="105" spans="6:26" x14ac:dyDescent="0.2">
      <c r="F105" s="96"/>
      <c r="K105" s="167"/>
      <c r="L105" s="77"/>
      <c r="M105" s="169"/>
      <c r="N105" s="169"/>
      <c r="P105" s="7"/>
      <c r="Q105" s="94"/>
      <c r="R105" s="95"/>
      <c r="S105" s="95"/>
      <c r="T105" s="7"/>
      <c r="U105" s="7"/>
      <c r="V105" s="7"/>
      <c r="W105" s="7"/>
      <c r="X105" s="7"/>
      <c r="Z105" s="8" t="e">
        <f>VLOOKUP(M105,Personalização!$I$7:$J$16,2,FALSE)</f>
        <v>#N/A</v>
      </c>
    </row>
    <row r="106" spans="6:26" x14ac:dyDescent="0.2">
      <c r="F106" s="96"/>
      <c r="K106" s="167"/>
      <c r="L106" s="77"/>
      <c r="M106" s="169"/>
      <c r="N106" s="169"/>
      <c r="P106" s="7"/>
      <c r="Q106" s="94"/>
      <c r="R106" s="95"/>
      <c r="S106" s="95"/>
      <c r="T106" s="7"/>
      <c r="U106" s="7"/>
      <c r="V106" s="7"/>
      <c r="W106" s="7"/>
      <c r="X106" s="7"/>
      <c r="Z106" s="8" t="e">
        <f>VLOOKUP(M106,Personalização!$I$7:$J$16,2,FALSE)</f>
        <v>#N/A</v>
      </c>
    </row>
    <row r="107" spans="6:26" x14ac:dyDescent="0.2">
      <c r="F107" s="96"/>
      <c r="K107" s="167"/>
      <c r="L107" s="77"/>
      <c r="M107" s="169"/>
      <c r="N107" s="169"/>
      <c r="P107" s="7"/>
      <c r="Q107" s="94"/>
      <c r="R107" s="95"/>
      <c r="S107" s="95"/>
      <c r="T107" s="7"/>
      <c r="U107" s="7"/>
      <c r="V107" s="7"/>
      <c r="W107" s="7"/>
      <c r="X107" s="7"/>
      <c r="Z107" s="8" t="e">
        <f>VLOOKUP(M107,Personalização!$I$7:$J$16,2,FALSE)</f>
        <v>#N/A</v>
      </c>
    </row>
    <row r="108" spans="6:26" x14ac:dyDescent="0.2">
      <c r="F108" s="96"/>
      <c r="K108" s="167"/>
      <c r="L108" s="77"/>
      <c r="M108" s="169"/>
      <c r="N108" s="169"/>
      <c r="P108" s="7"/>
      <c r="Q108" s="94"/>
      <c r="R108" s="95"/>
      <c r="S108" s="95"/>
      <c r="T108" s="7"/>
      <c r="U108" s="7"/>
      <c r="V108" s="7"/>
      <c r="W108" s="7"/>
      <c r="X108" s="7"/>
      <c r="Z108" s="8" t="e">
        <f>VLOOKUP(M108,Personalização!$I$7:$J$16,2,FALSE)</f>
        <v>#N/A</v>
      </c>
    </row>
    <row r="109" spans="6:26" x14ac:dyDescent="0.2">
      <c r="F109" s="96"/>
      <c r="K109" s="167"/>
      <c r="L109" s="77"/>
      <c r="M109" s="169"/>
      <c r="N109" s="169"/>
      <c r="P109" s="7"/>
      <c r="Q109" s="94"/>
      <c r="R109" s="95"/>
      <c r="S109" s="95"/>
      <c r="T109" s="7"/>
      <c r="U109" s="7"/>
      <c r="V109" s="7"/>
      <c r="W109" s="7"/>
      <c r="X109" s="7"/>
      <c r="Z109" s="8" t="e">
        <f>VLOOKUP(M109,Personalização!$I$7:$J$16,2,FALSE)</f>
        <v>#N/A</v>
      </c>
    </row>
    <row r="110" spans="6:26" x14ac:dyDescent="0.2">
      <c r="F110" s="96"/>
      <c r="K110" s="167"/>
      <c r="L110" s="77"/>
      <c r="M110" s="169"/>
      <c r="N110" s="169"/>
      <c r="P110" s="7"/>
      <c r="Q110" s="94"/>
      <c r="R110" s="95"/>
      <c r="S110" s="95"/>
      <c r="T110" s="7"/>
      <c r="U110" s="7"/>
      <c r="V110" s="7"/>
      <c r="W110" s="7"/>
      <c r="X110" s="7"/>
      <c r="Z110" s="8" t="e">
        <f>VLOOKUP(M110,Personalização!$I$7:$J$16,2,FALSE)</f>
        <v>#N/A</v>
      </c>
    </row>
    <row r="111" spans="6:26" x14ac:dyDescent="0.2">
      <c r="F111" s="96"/>
      <c r="K111" s="167"/>
      <c r="L111" s="77"/>
      <c r="M111" s="169"/>
      <c r="N111" s="169"/>
      <c r="P111" s="7"/>
      <c r="Q111" s="94"/>
      <c r="R111" s="95"/>
      <c r="S111" s="95"/>
      <c r="T111" s="7"/>
      <c r="U111" s="7"/>
      <c r="V111" s="7"/>
      <c r="W111" s="7"/>
      <c r="X111" s="7"/>
      <c r="Z111" s="8" t="e">
        <f>VLOOKUP(M111,Personalização!$I$7:$J$16,2,FALSE)</f>
        <v>#N/A</v>
      </c>
    </row>
    <row r="112" spans="6:26" x14ac:dyDescent="0.2">
      <c r="F112" s="96"/>
      <c r="K112" s="167"/>
      <c r="L112" s="77"/>
      <c r="M112" s="169"/>
      <c r="N112" s="169"/>
      <c r="P112" s="7"/>
      <c r="Q112" s="94"/>
      <c r="R112" s="95"/>
      <c r="S112" s="95"/>
      <c r="T112" s="7"/>
      <c r="U112" s="7"/>
      <c r="V112" s="7"/>
      <c r="W112" s="7"/>
      <c r="X112" s="7"/>
      <c r="Z112" s="8" t="e">
        <f>VLOOKUP(M112,Personalização!$I$7:$J$16,2,FALSE)</f>
        <v>#N/A</v>
      </c>
    </row>
    <row r="113" spans="6:26" x14ac:dyDescent="0.2">
      <c r="F113" s="96"/>
      <c r="K113" s="167"/>
      <c r="L113" s="77"/>
      <c r="M113" s="169"/>
      <c r="N113" s="169"/>
      <c r="P113" s="7"/>
      <c r="Q113" s="94"/>
      <c r="R113" s="95"/>
      <c r="S113" s="95"/>
      <c r="T113" s="7"/>
      <c r="U113" s="7"/>
      <c r="V113" s="7"/>
      <c r="W113" s="7"/>
      <c r="X113" s="7"/>
      <c r="Z113" s="8" t="e">
        <f>VLOOKUP(M113,Personalização!$I$7:$J$16,2,FALSE)</f>
        <v>#N/A</v>
      </c>
    </row>
    <row r="114" spans="6:26" x14ac:dyDescent="0.2">
      <c r="F114" s="96"/>
      <c r="K114" s="167"/>
      <c r="L114" s="77"/>
      <c r="M114" s="169"/>
      <c r="N114" s="169"/>
      <c r="P114" s="7"/>
      <c r="Q114" s="94"/>
      <c r="R114" s="95"/>
      <c r="S114" s="95"/>
      <c r="T114" s="7"/>
      <c r="U114" s="7"/>
      <c r="V114" s="7"/>
      <c r="W114" s="7"/>
      <c r="X114" s="7"/>
      <c r="Z114" s="8" t="e">
        <f>VLOOKUP(M114,Personalização!$I$7:$J$16,2,FALSE)</f>
        <v>#N/A</v>
      </c>
    </row>
    <row r="115" spans="6:26" x14ac:dyDescent="0.2">
      <c r="F115" s="96"/>
      <c r="K115" s="167"/>
      <c r="L115" s="77"/>
      <c r="M115" s="169"/>
      <c r="N115" s="169"/>
      <c r="P115" s="7"/>
      <c r="Q115" s="94"/>
      <c r="R115" s="95"/>
      <c r="S115" s="95"/>
      <c r="T115" s="7"/>
      <c r="U115" s="7"/>
      <c r="V115" s="7"/>
      <c r="W115" s="7"/>
      <c r="X115" s="7"/>
      <c r="Z115" s="8" t="e">
        <f>VLOOKUP(M115,Personalização!$I$7:$J$16,2,FALSE)</f>
        <v>#N/A</v>
      </c>
    </row>
    <row r="116" spans="6:26" x14ac:dyDescent="0.2">
      <c r="F116" s="96"/>
      <c r="K116" s="167"/>
      <c r="L116" s="77"/>
      <c r="M116" s="169"/>
      <c r="N116" s="169"/>
      <c r="P116" s="7"/>
      <c r="Q116" s="94"/>
      <c r="R116" s="95"/>
      <c r="S116" s="95"/>
      <c r="T116" s="7"/>
      <c r="U116" s="7"/>
      <c r="V116" s="7"/>
      <c r="W116" s="7"/>
      <c r="X116" s="7"/>
      <c r="Z116" s="8" t="e">
        <f>VLOOKUP(M116,Personalização!$I$7:$J$16,2,FALSE)</f>
        <v>#N/A</v>
      </c>
    </row>
    <row r="117" spans="6:26" x14ac:dyDescent="0.2">
      <c r="F117" s="96"/>
      <c r="K117" s="167"/>
      <c r="L117" s="77"/>
      <c r="M117" s="169"/>
      <c r="N117" s="169"/>
      <c r="P117" s="7"/>
      <c r="Q117" s="94"/>
      <c r="R117" s="95"/>
      <c r="S117" s="95"/>
      <c r="T117" s="7"/>
      <c r="U117" s="7"/>
      <c r="V117" s="7"/>
      <c r="W117" s="7"/>
      <c r="X117" s="7"/>
      <c r="Z117" s="8" t="e">
        <f>VLOOKUP(M117,Personalização!$I$7:$J$16,2,FALSE)</f>
        <v>#N/A</v>
      </c>
    </row>
    <row r="118" spans="6:26" x14ac:dyDescent="0.2">
      <c r="F118" s="96"/>
      <c r="K118" s="167"/>
      <c r="L118" s="77"/>
      <c r="M118" s="169"/>
      <c r="N118" s="169"/>
      <c r="P118" s="7"/>
      <c r="Q118" s="94"/>
      <c r="R118" s="95"/>
      <c r="S118" s="95"/>
      <c r="T118" s="7"/>
      <c r="U118" s="7"/>
      <c r="V118" s="7"/>
      <c r="W118" s="7"/>
      <c r="X118" s="7"/>
      <c r="Z118" s="8" t="e">
        <f>VLOOKUP(M118,Personalização!$I$7:$J$16,2,FALSE)</f>
        <v>#N/A</v>
      </c>
    </row>
    <row r="119" spans="6:26" x14ac:dyDescent="0.2">
      <c r="F119" s="96"/>
      <c r="K119" s="167"/>
      <c r="L119" s="77"/>
      <c r="M119" s="169"/>
      <c r="N119" s="169"/>
      <c r="P119" s="7"/>
      <c r="Q119" s="94"/>
      <c r="R119" s="95"/>
      <c r="S119" s="95"/>
      <c r="T119" s="7"/>
      <c r="U119" s="7"/>
      <c r="V119" s="7"/>
      <c r="W119" s="7"/>
      <c r="X119" s="7"/>
      <c r="Z119" s="8" t="e">
        <f>VLOOKUP(M119,Personalização!$I$7:$J$16,2,FALSE)</f>
        <v>#N/A</v>
      </c>
    </row>
    <row r="120" spans="6:26" x14ac:dyDescent="0.2">
      <c r="F120" s="96"/>
      <c r="K120" s="167"/>
      <c r="L120" s="77"/>
      <c r="M120" s="169"/>
      <c r="N120" s="169"/>
      <c r="P120" s="7"/>
      <c r="Q120" s="94"/>
      <c r="R120" s="95"/>
      <c r="S120" s="95"/>
      <c r="T120" s="7"/>
      <c r="U120" s="7"/>
      <c r="V120" s="7"/>
      <c r="W120" s="7"/>
      <c r="X120" s="7"/>
      <c r="Z120" s="8" t="e">
        <f>VLOOKUP(M120,Personalização!$I$7:$J$16,2,FALSE)</f>
        <v>#N/A</v>
      </c>
    </row>
    <row r="121" spans="6:26" x14ac:dyDescent="0.2">
      <c r="F121" s="96"/>
      <c r="K121" s="167"/>
      <c r="L121" s="77"/>
      <c r="M121" s="169"/>
      <c r="N121" s="169"/>
      <c r="P121" s="7"/>
      <c r="Q121" s="94"/>
      <c r="R121" s="95"/>
      <c r="S121" s="95"/>
      <c r="T121" s="7"/>
      <c r="U121" s="7"/>
      <c r="V121" s="7"/>
      <c r="W121" s="7"/>
      <c r="X121" s="7"/>
      <c r="Z121" s="8" t="e">
        <f>VLOOKUP(M121,Personalização!$I$7:$J$16,2,FALSE)</f>
        <v>#N/A</v>
      </c>
    </row>
    <row r="122" spans="6:26" x14ac:dyDescent="0.2">
      <c r="F122" s="96"/>
      <c r="K122" s="167"/>
      <c r="L122" s="77"/>
      <c r="M122" s="169"/>
      <c r="N122" s="169"/>
      <c r="P122" s="7"/>
      <c r="Q122" s="94"/>
      <c r="R122" s="95"/>
      <c r="S122" s="95"/>
      <c r="T122" s="7"/>
      <c r="U122" s="7"/>
      <c r="V122" s="7"/>
      <c r="W122" s="7"/>
      <c r="X122" s="7"/>
      <c r="Z122" s="8" t="e">
        <f>VLOOKUP(M122,Personalização!$I$7:$J$16,2,FALSE)</f>
        <v>#N/A</v>
      </c>
    </row>
    <row r="123" spans="6:26" x14ac:dyDescent="0.2">
      <c r="F123" s="96"/>
      <c r="K123" s="167"/>
      <c r="L123" s="77"/>
      <c r="M123" s="169"/>
      <c r="N123" s="169"/>
      <c r="P123" s="7"/>
      <c r="Q123" s="94"/>
      <c r="R123" s="95"/>
      <c r="S123" s="95"/>
      <c r="T123" s="7"/>
      <c r="U123" s="7"/>
      <c r="V123" s="7"/>
      <c r="W123" s="7"/>
      <c r="X123" s="7"/>
      <c r="Z123" s="8" t="e">
        <f>VLOOKUP(M123,Personalização!$I$7:$J$16,2,FALSE)</f>
        <v>#N/A</v>
      </c>
    </row>
    <row r="124" spans="6:26" x14ac:dyDescent="0.2">
      <c r="F124" s="96"/>
      <c r="K124" s="167"/>
      <c r="L124" s="77"/>
      <c r="M124" s="169"/>
      <c r="N124" s="169"/>
      <c r="P124" s="7"/>
      <c r="Q124" s="94"/>
      <c r="R124" s="95"/>
      <c r="S124" s="95"/>
      <c r="T124" s="7"/>
      <c r="U124" s="7"/>
      <c r="V124" s="7"/>
      <c r="W124" s="7"/>
      <c r="X124" s="7"/>
      <c r="Z124" s="8" t="e">
        <f>VLOOKUP(M124,Personalização!$I$7:$J$16,2,FALSE)</f>
        <v>#N/A</v>
      </c>
    </row>
    <row r="125" spans="6:26" x14ac:dyDescent="0.2">
      <c r="F125" s="96"/>
      <c r="K125" s="167"/>
      <c r="L125" s="77"/>
      <c r="M125" s="169"/>
      <c r="N125" s="169"/>
      <c r="P125" s="7"/>
      <c r="Q125" s="94"/>
      <c r="R125" s="95"/>
      <c r="S125" s="95"/>
      <c r="T125" s="7"/>
      <c r="U125" s="7"/>
      <c r="V125" s="7"/>
      <c r="W125" s="7"/>
      <c r="X125" s="7"/>
      <c r="Z125" s="8" t="e">
        <f>VLOOKUP(M125,Personalização!$I$7:$J$16,2,FALSE)</f>
        <v>#N/A</v>
      </c>
    </row>
    <row r="126" spans="6:26" x14ac:dyDescent="0.2">
      <c r="F126" s="96"/>
      <c r="K126" s="167"/>
      <c r="L126" s="77"/>
      <c r="M126" s="169"/>
      <c r="N126" s="169"/>
      <c r="P126" s="7"/>
      <c r="Q126" s="94"/>
      <c r="R126" s="95"/>
      <c r="S126" s="95"/>
      <c r="T126" s="7"/>
      <c r="U126" s="7"/>
      <c r="V126" s="7"/>
      <c r="W126" s="7"/>
      <c r="X126" s="7"/>
      <c r="Z126" s="8" t="e">
        <f>VLOOKUP(M126,Personalização!$I$7:$J$16,2,FALSE)</f>
        <v>#N/A</v>
      </c>
    </row>
    <row r="127" spans="6:26" x14ac:dyDescent="0.2">
      <c r="F127" s="96"/>
      <c r="K127" s="167"/>
      <c r="L127" s="77"/>
      <c r="M127" s="169"/>
      <c r="N127" s="169"/>
      <c r="P127" s="7"/>
      <c r="Q127" s="94"/>
      <c r="R127" s="95"/>
      <c r="S127" s="95"/>
      <c r="T127" s="7"/>
      <c r="U127" s="7"/>
      <c r="V127" s="7"/>
      <c r="W127" s="7"/>
      <c r="X127" s="7"/>
      <c r="Z127" s="8" t="e">
        <f>VLOOKUP(M127,Personalização!$I$7:$J$16,2,FALSE)</f>
        <v>#N/A</v>
      </c>
    </row>
    <row r="128" spans="6:26" x14ac:dyDescent="0.2">
      <c r="F128" s="96"/>
      <c r="K128" s="167"/>
      <c r="L128" s="77"/>
      <c r="M128" s="169"/>
      <c r="N128" s="169"/>
      <c r="P128" s="7"/>
      <c r="Q128" s="94"/>
      <c r="R128" s="95"/>
      <c r="S128" s="95"/>
      <c r="T128" s="7"/>
      <c r="U128" s="7"/>
      <c r="V128" s="7"/>
      <c r="W128" s="7"/>
      <c r="X128" s="7"/>
      <c r="Z128" s="8" t="e">
        <f>VLOOKUP(M128,Personalização!$I$7:$J$16,2,FALSE)</f>
        <v>#N/A</v>
      </c>
    </row>
    <row r="129" spans="6:26" x14ac:dyDescent="0.2">
      <c r="F129" s="96"/>
      <c r="K129" s="167"/>
      <c r="L129" s="77"/>
      <c r="M129" s="169"/>
      <c r="N129" s="169"/>
      <c r="P129" s="7"/>
      <c r="Q129" s="94"/>
      <c r="R129" s="95"/>
      <c r="S129" s="95"/>
      <c r="T129" s="7"/>
      <c r="U129" s="7"/>
      <c r="V129" s="7"/>
      <c r="W129" s="7"/>
      <c r="X129" s="7"/>
      <c r="Z129" s="8" t="e">
        <f>VLOOKUP(M129,Personalização!$I$7:$J$16,2,FALSE)</f>
        <v>#N/A</v>
      </c>
    </row>
    <row r="130" spans="6:26" x14ac:dyDescent="0.2">
      <c r="F130" s="96"/>
      <c r="K130" s="167"/>
      <c r="L130" s="77"/>
      <c r="M130" s="169"/>
      <c r="N130" s="169"/>
      <c r="P130" s="7"/>
      <c r="Q130" s="94"/>
      <c r="R130" s="95"/>
      <c r="S130" s="95"/>
      <c r="T130" s="7"/>
      <c r="U130" s="7"/>
      <c r="V130" s="7"/>
      <c r="W130" s="7"/>
      <c r="X130" s="7"/>
      <c r="Z130" s="8" t="e">
        <f>VLOOKUP(M130,Personalização!$I$7:$J$16,2,FALSE)</f>
        <v>#N/A</v>
      </c>
    </row>
    <row r="131" spans="6:26" x14ac:dyDescent="0.2">
      <c r="F131" s="96"/>
      <c r="K131" s="167"/>
      <c r="L131" s="77"/>
      <c r="M131" s="169"/>
      <c r="N131" s="169"/>
      <c r="P131" s="7"/>
      <c r="Q131" s="94"/>
      <c r="R131" s="95"/>
      <c r="S131" s="95"/>
      <c r="T131" s="7"/>
      <c r="U131" s="7"/>
      <c r="V131" s="7"/>
      <c r="W131" s="7"/>
      <c r="X131" s="7"/>
      <c r="Z131" s="8" t="e">
        <f>VLOOKUP(M131,Personalização!$I$7:$J$16,2,FALSE)</f>
        <v>#N/A</v>
      </c>
    </row>
    <row r="132" spans="6:26" x14ac:dyDescent="0.2">
      <c r="F132" s="96"/>
      <c r="K132" s="167"/>
      <c r="L132" s="77"/>
      <c r="M132" s="169"/>
      <c r="N132" s="169"/>
      <c r="P132" s="7"/>
      <c r="Q132" s="94"/>
      <c r="R132" s="95"/>
      <c r="S132" s="95"/>
      <c r="T132" s="7"/>
      <c r="U132" s="7"/>
      <c r="V132" s="7"/>
      <c r="W132" s="7"/>
      <c r="X132" s="7"/>
      <c r="Z132" s="8" t="e">
        <f>VLOOKUP(M132,Personalização!$I$7:$J$16,2,FALSE)</f>
        <v>#N/A</v>
      </c>
    </row>
    <row r="133" spans="6:26" x14ac:dyDescent="0.2">
      <c r="F133" s="96"/>
      <c r="K133" s="167"/>
      <c r="L133" s="77"/>
      <c r="M133" s="169"/>
      <c r="N133" s="169"/>
      <c r="P133" s="7"/>
      <c r="Q133" s="94"/>
      <c r="R133" s="95"/>
      <c r="S133" s="95"/>
      <c r="T133" s="7"/>
      <c r="U133" s="7"/>
      <c r="V133" s="7"/>
      <c r="W133" s="7"/>
      <c r="X133" s="7"/>
      <c r="Z133" s="8" t="e">
        <f>VLOOKUP(M133,Personalização!$I$7:$J$16,2,FALSE)</f>
        <v>#N/A</v>
      </c>
    </row>
    <row r="134" spans="6:26" x14ac:dyDescent="0.2">
      <c r="F134" s="96"/>
      <c r="K134" s="167"/>
      <c r="L134" s="77"/>
      <c r="M134" s="169"/>
      <c r="N134" s="169"/>
      <c r="P134" s="7"/>
      <c r="Q134" s="94"/>
      <c r="R134" s="95"/>
      <c r="S134" s="95"/>
      <c r="T134" s="7"/>
      <c r="U134" s="7"/>
      <c r="V134" s="7"/>
      <c r="W134" s="7"/>
      <c r="X134" s="7"/>
      <c r="Z134" s="8" t="e">
        <f>VLOOKUP(M134,Personalização!$I$7:$J$16,2,FALSE)</f>
        <v>#N/A</v>
      </c>
    </row>
    <row r="135" spans="6:26" x14ac:dyDescent="0.2">
      <c r="F135" s="96"/>
      <c r="K135" s="167"/>
      <c r="L135" s="77"/>
      <c r="M135" s="169"/>
      <c r="N135" s="169"/>
      <c r="P135" s="7"/>
      <c r="Q135" s="94"/>
      <c r="R135" s="95"/>
      <c r="S135" s="95"/>
      <c r="T135" s="7"/>
      <c r="U135" s="7"/>
      <c r="V135" s="7"/>
      <c r="W135" s="7"/>
      <c r="X135" s="7"/>
      <c r="Z135" s="8" t="e">
        <f>VLOOKUP(M135,Personalização!$I$7:$J$16,2,FALSE)</f>
        <v>#N/A</v>
      </c>
    </row>
    <row r="136" spans="6:26" x14ac:dyDescent="0.2">
      <c r="F136" s="96"/>
      <c r="K136" s="167"/>
      <c r="L136" s="77"/>
      <c r="M136" s="169"/>
      <c r="N136" s="169"/>
      <c r="P136" s="7"/>
      <c r="Q136" s="94"/>
      <c r="R136" s="95"/>
      <c r="S136" s="95"/>
      <c r="T136" s="7"/>
      <c r="U136" s="7"/>
      <c r="V136" s="7"/>
      <c r="W136" s="7"/>
      <c r="X136" s="7"/>
      <c r="Z136" s="8" t="e">
        <f>VLOOKUP(M136,Personalização!$I$7:$J$16,2,FALSE)</f>
        <v>#N/A</v>
      </c>
    </row>
    <row r="137" spans="6:26" x14ac:dyDescent="0.2">
      <c r="F137" s="96"/>
      <c r="K137" s="167"/>
      <c r="L137" s="77"/>
      <c r="M137" s="169"/>
      <c r="N137" s="169"/>
      <c r="P137" s="7"/>
      <c r="Q137" s="94"/>
      <c r="R137" s="95"/>
      <c r="S137" s="95"/>
      <c r="T137" s="7"/>
      <c r="U137" s="7"/>
      <c r="V137" s="7"/>
      <c r="W137" s="7"/>
      <c r="X137" s="7"/>
      <c r="Z137" s="8" t="e">
        <f>VLOOKUP(M137,Personalização!$I$7:$J$16,2,FALSE)</f>
        <v>#N/A</v>
      </c>
    </row>
    <row r="138" spans="6:26" x14ac:dyDescent="0.2">
      <c r="F138" s="96"/>
      <c r="K138" s="167"/>
      <c r="L138" s="77"/>
      <c r="M138" s="169"/>
      <c r="N138" s="169"/>
      <c r="P138" s="7"/>
      <c r="Q138" s="94"/>
      <c r="R138" s="95"/>
      <c r="S138" s="95"/>
      <c r="T138" s="7"/>
      <c r="U138" s="7"/>
      <c r="V138" s="7"/>
      <c r="W138" s="7"/>
      <c r="X138" s="7"/>
      <c r="Z138" s="8" t="e">
        <f>VLOOKUP(M138,Personalização!$I$7:$J$16,2,FALSE)</f>
        <v>#N/A</v>
      </c>
    </row>
    <row r="139" spans="6:26" x14ac:dyDescent="0.2">
      <c r="F139" s="96"/>
      <c r="K139" s="167"/>
      <c r="L139" s="77"/>
      <c r="M139" s="169"/>
      <c r="N139" s="169"/>
      <c r="P139" s="7"/>
      <c r="Q139" s="94"/>
      <c r="R139" s="95"/>
      <c r="S139" s="95"/>
      <c r="T139" s="7"/>
      <c r="U139" s="7"/>
      <c r="V139" s="7"/>
      <c r="W139" s="7"/>
      <c r="X139" s="7"/>
      <c r="Z139" s="8" t="e">
        <f>VLOOKUP(M139,Personalização!$I$7:$J$16,2,FALSE)</f>
        <v>#N/A</v>
      </c>
    </row>
    <row r="140" spans="6:26" x14ac:dyDescent="0.2">
      <c r="F140" s="96"/>
      <c r="K140" s="167"/>
      <c r="L140" s="77"/>
      <c r="M140" s="169"/>
      <c r="N140" s="169"/>
      <c r="P140" s="7"/>
      <c r="Q140" s="94"/>
      <c r="R140" s="95"/>
      <c r="S140" s="95"/>
      <c r="T140" s="7"/>
      <c r="U140" s="7"/>
      <c r="V140" s="7"/>
      <c r="W140" s="7"/>
      <c r="X140" s="7"/>
      <c r="Z140" s="8" t="e">
        <f>VLOOKUP(M140,Personalização!$I$7:$J$16,2,FALSE)</f>
        <v>#N/A</v>
      </c>
    </row>
    <row r="141" spans="6:26" x14ac:dyDescent="0.2">
      <c r="F141" s="96"/>
      <c r="K141" s="167"/>
      <c r="L141" s="77"/>
      <c r="M141" s="169"/>
      <c r="N141" s="169"/>
      <c r="P141" s="7"/>
      <c r="Q141" s="94"/>
      <c r="R141" s="95"/>
      <c r="S141" s="95"/>
      <c r="T141" s="7"/>
      <c r="U141" s="7"/>
      <c r="V141" s="7"/>
      <c r="W141" s="7"/>
      <c r="X141" s="7"/>
      <c r="Z141" s="8" t="e">
        <f>VLOOKUP(M141,Personalização!$I$7:$J$16,2,FALSE)</f>
        <v>#N/A</v>
      </c>
    </row>
    <row r="142" spans="6:26" x14ac:dyDescent="0.2">
      <c r="F142" s="96"/>
      <c r="K142" s="167"/>
      <c r="L142" s="77"/>
      <c r="M142" s="169"/>
      <c r="N142" s="169"/>
      <c r="P142" s="7"/>
      <c r="Q142" s="94"/>
      <c r="R142" s="95"/>
      <c r="S142" s="95"/>
      <c r="T142" s="7"/>
      <c r="U142" s="7"/>
      <c r="V142" s="7"/>
      <c r="W142" s="7"/>
      <c r="X142" s="7"/>
      <c r="Z142" s="8" t="e">
        <f>VLOOKUP(M142,Personalização!$I$7:$J$16,2,FALSE)</f>
        <v>#N/A</v>
      </c>
    </row>
    <row r="143" spans="6:26" x14ac:dyDescent="0.2">
      <c r="F143" s="96"/>
      <c r="K143" s="167"/>
      <c r="L143" s="77"/>
      <c r="M143" s="169"/>
      <c r="N143" s="169"/>
      <c r="P143" s="7"/>
      <c r="Q143" s="94"/>
      <c r="R143" s="95"/>
      <c r="S143" s="95"/>
      <c r="T143" s="7"/>
      <c r="U143" s="7"/>
      <c r="V143" s="7"/>
      <c r="W143" s="7"/>
      <c r="X143" s="7"/>
      <c r="Z143" s="8" t="e">
        <f>VLOOKUP(M143,Personalização!$I$7:$J$16,2,FALSE)</f>
        <v>#N/A</v>
      </c>
    </row>
    <row r="144" spans="6:26" x14ac:dyDescent="0.2">
      <c r="F144" s="96"/>
      <c r="K144" s="167"/>
      <c r="L144" s="77"/>
      <c r="M144" s="169"/>
      <c r="N144" s="169"/>
      <c r="P144" s="7"/>
      <c r="Q144" s="94"/>
      <c r="R144" s="95"/>
      <c r="S144" s="95"/>
      <c r="T144" s="7"/>
      <c r="U144" s="7"/>
      <c r="V144" s="7"/>
      <c r="W144" s="7"/>
      <c r="X144" s="7"/>
      <c r="Z144" s="8" t="e">
        <f>VLOOKUP(M144,Personalização!$I$7:$J$16,2,FALSE)</f>
        <v>#N/A</v>
      </c>
    </row>
    <row r="145" spans="6:26" x14ac:dyDescent="0.2">
      <c r="F145" s="96"/>
      <c r="K145" s="167"/>
      <c r="L145" s="77"/>
      <c r="M145" s="169"/>
      <c r="N145" s="169"/>
      <c r="P145" s="7"/>
      <c r="Q145" s="94"/>
      <c r="R145" s="95"/>
      <c r="S145" s="95"/>
      <c r="T145" s="7"/>
      <c r="U145" s="7"/>
      <c r="V145" s="7"/>
      <c r="W145" s="7"/>
      <c r="X145" s="7"/>
      <c r="Z145" s="8" t="e">
        <f>VLOOKUP(M145,Personalização!$I$7:$J$16,2,FALSE)</f>
        <v>#N/A</v>
      </c>
    </row>
    <row r="146" spans="6:26" x14ac:dyDescent="0.2">
      <c r="F146" s="96"/>
      <c r="K146" s="167"/>
      <c r="L146" s="77"/>
      <c r="M146" s="169"/>
      <c r="N146" s="169"/>
      <c r="P146" s="7"/>
      <c r="Q146" s="94"/>
      <c r="R146" s="95"/>
      <c r="S146" s="95"/>
      <c r="T146" s="7"/>
      <c r="U146" s="7"/>
      <c r="V146" s="7"/>
      <c r="W146" s="7"/>
      <c r="X146" s="7"/>
      <c r="Z146" s="8" t="e">
        <f>VLOOKUP(M146,Personalização!$I$7:$J$16,2,FALSE)</f>
        <v>#N/A</v>
      </c>
    </row>
    <row r="147" spans="6:26" x14ac:dyDescent="0.2">
      <c r="F147" s="96"/>
      <c r="K147" s="167"/>
      <c r="L147" s="77"/>
      <c r="M147" s="169"/>
      <c r="N147" s="169"/>
      <c r="P147" s="7"/>
      <c r="Q147" s="94"/>
      <c r="R147" s="95"/>
      <c r="S147" s="95"/>
      <c r="T147" s="7"/>
      <c r="U147" s="7"/>
      <c r="V147" s="7"/>
      <c r="W147" s="7"/>
      <c r="X147" s="7"/>
      <c r="Z147" s="8" t="e">
        <f>VLOOKUP(M147,Personalização!$I$7:$J$16,2,FALSE)</f>
        <v>#N/A</v>
      </c>
    </row>
    <row r="148" spans="6:26" x14ac:dyDescent="0.2">
      <c r="F148" s="96"/>
      <c r="K148" s="167"/>
      <c r="L148" s="77"/>
      <c r="M148" s="169"/>
      <c r="N148" s="169"/>
      <c r="P148" s="7"/>
      <c r="Q148" s="94"/>
      <c r="R148" s="95"/>
      <c r="S148" s="95"/>
      <c r="T148" s="7"/>
      <c r="U148" s="7"/>
      <c r="V148" s="7"/>
      <c r="W148" s="7"/>
      <c r="X148" s="7"/>
      <c r="Z148" s="8" t="e">
        <f>VLOOKUP(M148,Personalização!$I$7:$J$16,2,FALSE)</f>
        <v>#N/A</v>
      </c>
    </row>
    <row r="149" spans="6:26" x14ac:dyDescent="0.2">
      <c r="F149" s="96"/>
      <c r="K149" s="167"/>
      <c r="L149" s="77"/>
      <c r="M149" s="169"/>
      <c r="N149" s="169"/>
      <c r="P149" s="7"/>
      <c r="Q149" s="94"/>
      <c r="R149" s="95"/>
      <c r="S149" s="95"/>
      <c r="T149" s="7"/>
      <c r="U149" s="7"/>
      <c r="V149" s="7"/>
      <c r="W149" s="7"/>
      <c r="X149" s="7"/>
      <c r="Z149" s="8" t="e">
        <f>VLOOKUP(M149,Personalização!$I$7:$J$16,2,FALSE)</f>
        <v>#N/A</v>
      </c>
    </row>
    <row r="150" spans="6:26" x14ac:dyDescent="0.2">
      <c r="F150" s="96"/>
      <c r="K150" s="167"/>
      <c r="L150" s="77"/>
      <c r="M150" s="169"/>
      <c r="N150" s="169"/>
      <c r="P150" s="7"/>
      <c r="Q150" s="94"/>
      <c r="R150" s="95"/>
      <c r="S150" s="95"/>
      <c r="T150" s="7"/>
      <c r="U150" s="7"/>
      <c r="V150" s="7"/>
      <c r="W150" s="7"/>
      <c r="X150" s="7"/>
      <c r="Z150" s="8" t="e">
        <f>VLOOKUP(M150,Personalização!$I$7:$J$16,2,FALSE)</f>
        <v>#N/A</v>
      </c>
    </row>
    <row r="151" spans="6:26" x14ac:dyDescent="0.2">
      <c r="F151" s="96"/>
      <c r="K151" s="167"/>
      <c r="L151" s="77"/>
      <c r="M151" s="169"/>
      <c r="N151" s="169"/>
      <c r="P151" s="7"/>
      <c r="Q151" s="94"/>
      <c r="R151" s="95"/>
      <c r="S151" s="95"/>
      <c r="T151" s="7"/>
      <c r="U151" s="7"/>
      <c r="V151" s="7"/>
      <c r="W151" s="7"/>
      <c r="X151" s="7"/>
      <c r="Z151" s="8" t="e">
        <f>VLOOKUP(M151,Personalização!$I$7:$J$16,2,FALSE)</f>
        <v>#N/A</v>
      </c>
    </row>
    <row r="152" spans="6:26" x14ac:dyDescent="0.2">
      <c r="F152" s="96"/>
      <c r="K152" s="167"/>
      <c r="L152" s="77"/>
      <c r="M152" s="169"/>
      <c r="N152" s="169"/>
      <c r="P152" s="7"/>
      <c r="Q152" s="94"/>
      <c r="R152" s="95"/>
      <c r="S152" s="95"/>
      <c r="T152" s="7"/>
      <c r="U152" s="7"/>
      <c r="V152" s="7"/>
      <c r="W152" s="7"/>
      <c r="X152" s="7"/>
      <c r="Z152" s="8" t="e">
        <f>VLOOKUP(M152,Personalização!$I$7:$J$16,2,FALSE)</f>
        <v>#N/A</v>
      </c>
    </row>
    <row r="153" spans="6:26" x14ac:dyDescent="0.2">
      <c r="F153" s="96"/>
      <c r="K153" s="167"/>
      <c r="L153" s="77"/>
      <c r="M153" s="169"/>
      <c r="N153" s="169"/>
      <c r="P153" s="7"/>
      <c r="Q153" s="94"/>
      <c r="R153" s="95"/>
      <c r="S153" s="95"/>
      <c r="T153" s="7"/>
      <c r="U153" s="7"/>
      <c r="V153" s="7"/>
      <c r="W153" s="7"/>
      <c r="X153" s="7"/>
      <c r="Z153" s="8" t="e">
        <f>VLOOKUP(M153,Personalização!$I$7:$J$16,2,FALSE)</f>
        <v>#N/A</v>
      </c>
    </row>
    <row r="154" spans="6:26" x14ac:dyDescent="0.2">
      <c r="F154" s="96"/>
      <c r="K154" s="167"/>
      <c r="L154" s="77"/>
      <c r="M154" s="169"/>
      <c r="N154" s="169"/>
      <c r="P154" s="7"/>
      <c r="Q154" s="94"/>
      <c r="R154" s="95"/>
      <c r="S154" s="95"/>
      <c r="T154" s="7"/>
      <c r="U154" s="7"/>
      <c r="V154" s="7"/>
      <c r="W154" s="7"/>
      <c r="X154" s="7"/>
      <c r="Z154" s="8" t="e">
        <f>VLOOKUP(M154,Personalização!$I$7:$J$16,2,FALSE)</f>
        <v>#N/A</v>
      </c>
    </row>
    <row r="155" spans="6:26" x14ac:dyDescent="0.2">
      <c r="F155" s="96"/>
      <c r="K155" s="167"/>
      <c r="L155" s="77"/>
      <c r="M155" s="169"/>
      <c r="N155" s="169"/>
      <c r="P155" s="7"/>
      <c r="Q155" s="94"/>
      <c r="R155" s="95"/>
      <c r="S155" s="95"/>
      <c r="T155" s="7"/>
      <c r="U155" s="7"/>
      <c r="V155" s="7"/>
      <c r="W155" s="7"/>
      <c r="X155" s="7"/>
      <c r="Z155" s="8" t="e">
        <f>VLOOKUP(M155,Personalização!$I$7:$J$16,2,FALSE)</f>
        <v>#N/A</v>
      </c>
    </row>
    <row r="156" spans="6:26" x14ac:dyDescent="0.2">
      <c r="F156" s="96"/>
      <c r="K156" s="167"/>
      <c r="L156" s="77"/>
      <c r="M156" s="169"/>
      <c r="N156" s="169"/>
      <c r="P156" s="7"/>
      <c r="Q156" s="94"/>
      <c r="R156" s="95"/>
      <c r="S156" s="95"/>
      <c r="T156" s="7"/>
      <c r="U156" s="7"/>
      <c r="V156" s="7"/>
      <c r="W156" s="7"/>
      <c r="X156" s="7"/>
      <c r="Z156" s="8" t="e">
        <f>VLOOKUP(M156,Personalização!$I$7:$J$16,2,FALSE)</f>
        <v>#N/A</v>
      </c>
    </row>
    <row r="157" spans="6:26" x14ac:dyDescent="0.2">
      <c r="F157" s="96"/>
      <c r="K157" s="167"/>
      <c r="L157" s="77"/>
      <c r="M157" s="169"/>
      <c r="N157" s="169"/>
      <c r="P157" s="7"/>
      <c r="Q157" s="94"/>
      <c r="R157" s="95"/>
      <c r="S157" s="95"/>
      <c r="T157" s="7"/>
      <c r="U157" s="7"/>
      <c r="V157" s="7"/>
      <c r="W157" s="7"/>
      <c r="X157" s="7"/>
      <c r="Z157" s="8" t="e">
        <f>VLOOKUP(M157,Personalização!$I$7:$J$16,2,FALSE)</f>
        <v>#N/A</v>
      </c>
    </row>
    <row r="158" spans="6:26" x14ac:dyDescent="0.2">
      <c r="F158" s="96"/>
      <c r="K158" s="167"/>
      <c r="L158" s="77"/>
      <c r="M158" s="169"/>
      <c r="N158" s="169"/>
      <c r="P158" s="7"/>
      <c r="Q158" s="94"/>
      <c r="R158" s="95"/>
      <c r="S158" s="95"/>
      <c r="T158" s="7"/>
      <c r="U158" s="7"/>
      <c r="V158" s="7"/>
      <c r="W158" s="7"/>
      <c r="X158" s="7"/>
      <c r="Z158" s="8" t="e">
        <f>VLOOKUP(M158,Personalização!$I$7:$J$16,2,FALSE)</f>
        <v>#N/A</v>
      </c>
    </row>
    <row r="159" spans="6:26" x14ac:dyDescent="0.2">
      <c r="F159" s="96"/>
      <c r="K159" s="167"/>
      <c r="L159" s="77"/>
      <c r="M159" s="169"/>
      <c r="N159" s="169"/>
      <c r="P159" s="7"/>
      <c r="Q159" s="94"/>
      <c r="R159" s="95"/>
      <c r="S159" s="95"/>
      <c r="T159" s="7"/>
      <c r="U159" s="7"/>
      <c r="V159" s="7"/>
      <c r="W159" s="7"/>
      <c r="X159" s="7"/>
      <c r="Z159" s="8" t="e">
        <f>VLOOKUP(M159,Personalização!$I$7:$J$16,2,FALSE)</f>
        <v>#N/A</v>
      </c>
    </row>
    <row r="160" spans="6:26" x14ac:dyDescent="0.2">
      <c r="F160" s="96"/>
      <c r="K160" s="167"/>
      <c r="L160" s="77"/>
      <c r="M160" s="169"/>
      <c r="N160" s="169"/>
      <c r="P160" s="7"/>
      <c r="Q160" s="94"/>
      <c r="R160" s="95"/>
      <c r="S160" s="95"/>
      <c r="T160" s="7"/>
      <c r="U160" s="7"/>
      <c r="V160" s="7"/>
      <c r="W160" s="7"/>
      <c r="X160" s="7"/>
      <c r="Z160" s="8" t="e">
        <f>VLOOKUP(M160,Personalização!$I$7:$J$16,2,FALSE)</f>
        <v>#N/A</v>
      </c>
    </row>
    <row r="161" spans="6:26" x14ac:dyDescent="0.2">
      <c r="F161" s="96"/>
      <c r="K161" s="167"/>
      <c r="L161" s="77"/>
      <c r="M161" s="169"/>
      <c r="N161" s="169"/>
      <c r="P161" s="7"/>
      <c r="Q161" s="94"/>
      <c r="R161" s="95"/>
      <c r="S161" s="95"/>
      <c r="T161" s="7"/>
      <c r="U161" s="7"/>
      <c r="V161" s="7"/>
      <c r="W161" s="7"/>
      <c r="X161" s="7"/>
      <c r="Z161" s="8" t="e">
        <f>VLOOKUP(M161,Personalização!$I$7:$J$16,2,FALSE)</f>
        <v>#N/A</v>
      </c>
    </row>
    <row r="162" spans="6:26" x14ac:dyDescent="0.2">
      <c r="F162" s="96"/>
      <c r="K162" s="167"/>
      <c r="L162" s="77"/>
      <c r="M162" s="169"/>
      <c r="N162" s="169"/>
      <c r="P162" s="7"/>
      <c r="Q162" s="94"/>
      <c r="R162" s="95"/>
      <c r="S162" s="95"/>
      <c r="T162" s="7"/>
      <c r="U162" s="7"/>
      <c r="V162" s="7"/>
      <c r="W162" s="7"/>
      <c r="X162" s="7"/>
      <c r="Z162" s="8" t="e">
        <f>VLOOKUP(M162,Personalização!$I$7:$J$16,2,FALSE)</f>
        <v>#N/A</v>
      </c>
    </row>
    <row r="163" spans="6:26" x14ac:dyDescent="0.2">
      <c r="F163" s="96"/>
      <c r="K163" s="167"/>
      <c r="L163" s="77"/>
      <c r="M163" s="169"/>
      <c r="N163" s="169"/>
      <c r="P163" s="7"/>
      <c r="Q163" s="94"/>
      <c r="R163" s="95"/>
      <c r="S163" s="95"/>
      <c r="T163" s="7"/>
      <c r="U163" s="7"/>
      <c r="V163" s="7"/>
      <c r="W163" s="7"/>
      <c r="X163" s="7"/>
      <c r="Z163" s="8" t="e">
        <f>VLOOKUP(M163,Personalização!$I$7:$J$16,2,FALSE)</f>
        <v>#N/A</v>
      </c>
    </row>
    <row r="164" spans="6:26" x14ac:dyDescent="0.2">
      <c r="F164" s="96"/>
      <c r="K164" s="167"/>
      <c r="L164" s="77"/>
      <c r="M164" s="169"/>
      <c r="N164" s="169"/>
      <c r="P164" s="7"/>
      <c r="Q164" s="94"/>
      <c r="R164" s="95"/>
      <c r="S164" s="95"/>
      <c r="T164" s="7"/>
      <c r="U164" s="7"/>
      <c r="V164" s="7"/>
      <c r="W164" s="7"/>
      <c r="X164" s="7"/>
      <c r="Z164" s="8" t="e">
        <f>VLOOKUP(M164,Personalização!$I$7:$J$16,2,FALSE)</f>
        <v>#N/A</v>
      </c>
    </row>
    <row r="165" spans="6:26" x14ac:dyDescent="0.2">
      <c r="F165" s="96"/>
      <c r="K165" s="167"/>
      <c r="L165" s="77"/>
      <c r="M165" s="169"/>
      <c r="N165" s="169"/>
      <c r="P165" s="7"/>
      <c r="Q165" s="94"/>
      <c r="R165" s="95"/>
      <c r="S165" s="95"/>
      <c r="T165" s="7"/>
      <c r="U165" s="7"/>
      <c r="V165" s="7"/>
      <c r="W165" s="7"/>
      <c r="X165" s="7"/>
      <c r="Z165" s="8" t="e">
        <f>VLOOKUP(M165,Personalização!$I$7:$J$16,2,FALSE)</f>
        <v>#N/A</v>
      </c>
    </row>
    <row r="166" spans="6:26" x14ac:dyDescent="0.2">
      <c r="F166" s="96"/>
      <c r="K166" s="167"/>
      <c r="L166" s="77"/>
      <c r="M166" s="169"/>
      <c r="N166" s="169"/>
      <c r="P166" s="7"/>
      <c r="Q166" s="94"/>
      <c r="R166" s="95"/>
      <c r="S166" s="95"/>
      <c r="T166" s="7"/>
      <c r="U166" s="7"/>
      <c r="V166" s="7"/>
      <c r="W166" s="7"/>
      <c r="X166" s="7"/>
      <c r="Z166" s="8" t="e">
        <f>VLOOKUP(M166,Personalização!$I$7:$J$16,2,FALSE)</f>
        <v>#N/A</v>
      </c>
    </row>
    <row r="167" spans="6:26" x14ac:dyDescent="0.2">
      <c r="F167" s="96"/>
      <c r="K167" s="167"/>
      <c r="L167" s="77"/>
      <c r="M167" s="169"/>
      <c r="N167" s="169"/>
      <c r="P167" s="7"/>
      <c r="Q167" s="94"/>
      <c r="R167" s="95"/>
      <c r="S167" s="95"/>
      <c r="T167" s="7"/>
      <c r="U167" s="7"/>
      <c r="V167" s="7"/>
      <c r="W167" s="7"/>
      <c r="X167" s="7"/>
      <c r="Z167" s="8" t="e">
        <f>VLOOKUP(M167,Personalização!$I$7:$J$16,2,FALSE)</f>
        <v>#N/A</v>
      </c>
    </row>
    <row r="168" spans="6:26" x14ac:dyDescent="0.2">
      <c r="F168" s="96"/>
      <c r="K168" s="167"/>
      <c r="L168" s="77"/>
      <c r="M168" s="169"/>
      <c r="N168" s="169"/>
      <c r="P168" s="7"/>
      <c r="Q168" s="94"/>
      <c r="R168" s="95"/>
      <c r="S168" s="95"/>
      <c r="T168" s="7"/>
      <c r="U168" s="7"/>
      <c r="V168" s="7"/>
      <c r="W168" s="7"/>
      <c r="X168" s="7"/>
      <c r="Z168" s="8" t="e">
        <f>VLOOKUP(M168,Personalização!$I$7:$J$16,2,FALSE)</f>
        <v>#N/A</v>
      </c>
    </row>
    <row r="169" spans="6:26" x14ac:dyDescent="0.2">
      <c r="F169" s="96"/>
      <c r="K169" s="167"/>
      <c r="L169" s="77"/>
      <c r="M169" s="169"/>
      <c r="N169" s="169"/>
      <c r="P169" s="7"/>
      <c r="Q169" s="94"/>
      <c r="R169" s="95"/>
      <c r="S169" s="95"/>
      <c r="T169" s="7"/>
      <c r="U169" s="7"/>
      <c r="V169" s="7"/>
      <c r="W169" s="7"/>
      <c r="X169" s="7"/>
      <c r="Z169" s="8" t="e">
        <f>VLOOKUP(M169,Personalização!$I$7:$J$16,2,FALSE)</f>
        <v>#N/A</v>
      </c>
    </row>
    <row r="170" spans="6:26" x14ac:dyDescent="0.2">
      <c r="F170" s="96"/>
      <c r="K170" s="167"/>
      <c r="L170" s="77"/>
      <c r="M170" s="169"/>
      <c r="N170" s="169"/>
      <c r="P170" s="7"/>
      <c r="Q170" s="94"/>
      <c r="R170" s="95"/>
      <c r="S170" s="95"/>
      <c r="T170" s="7"/>
      <c r="U170" s="7"/>
      <c r="V170" s="7"/>
      <c r="W170" s="7"/>
      <c r="X170" s="7"/>
      <c r="Z170" s="8" t="e">
        <f>VLOOKUP(M170,Personalização!$I$7:$J$16,2,FALSE)</f>
        <v>#N/A</v>
      </c>
    </row>
    <row r="171" spans="6:26" x14ac:dyDescent="0.2">
      <c r="F171" s="96"/>
      <c r="K171" s="167"/>
      <c r="L171" s="77"/>
      <c r="M171" s="169"/>
      <c r="N171" s="169"/>
      <c r="P171" s="7"/>
      <c r="Q171" s="94"/>
      <c r="R171" s="95"/>
      <c r="S171" s="95"/>
      <c r="T171" s="7"/>
      <c r="U171" s="7"/>
      <c r="V171" s="7"/>
      <c r="W171" s="7"/>
      <c r="X171" s="7"/>
      <c r="Z171" s="8" t="e">
        <f>VLOOKUP(M171,Personalização!$I$7:$J$16,2,FALSE)</f>
        <v>#N/A</v>
      </c>
    </row>
    <row r="172" spans="6:26" x14ac:dyDescent="0.2">
      <c r="F172" s="96"/>
      <c r="K172" s="167"/>
      <c r="L172" s="77"/>
      <c r="M172" s="169"/>
      <c r="N172" s="169"/>
      <c r="P172" s="7"/>
      <c r="Q172" s="94"/>
      <c r="R172" s="95"/>
      <c r="S172" s="95"/>
      <c r="T172" s="7"/>
      <c r="U172" s="7"/>
      <c r="V172" s="7"/>
      <c r="W172" s="7"/>
      <c r="X172" s="7"/>
      <c r="Z172" s="8" t="e">
        <f>VLOOKUP(M172,Personalização!$I$7:$J$16,2,FALSE)</f>
        <v>#N/A</v>
      </c>
    </row>
    <row r="173" spans="6:26" x14ac:dyDescent="0.2">
      <c r="F173" s="96"/>
      <c r="K173" s="167"/>
      <c r="L173" s="77"/>
      <c r="M173" s="169"/>
      <c r="N173" s="169"/>
      <c r="P173" s="7"/>
      <c r="Q173" s="94"/>
      <c r="R173" s="95"/>
      <c r="S173" s="95"/>
      <c r="T173" s="7"/>
      <c r="U173" s="7"/>
      <c r="V173" s="7"/>
      <c r="W173" s="7"/>
      <c r="X173" s="7"/>
      <c r="Z173" s="8" t="e">
        <f>VLOOKUP(M173,Personalização!$I$7:$J$16,2,FALSE)</f>
        <v>#N/A</v>
      </c>
    </row>
    <row r="174" spans="6:26" x14ac:dyDescent="0.2">
      <c r="F174" s="96"/>
      <c r="K174" s="167"/>
      <c r="L174" s="77"/>
      <c r="M174" s="169"/>
      <c r="N174" s="169"/>
      <c r="P174" s="7"/>
      <c r="Q174" s="94"/>
      <c r="R174" s="95"/>
      <c r="S174" s="95"/>
      <c r="T174" s="7"/>
      <c r="U174" s="7"/>
      <c r="V174" s="7"/>
      <c r="W174" s="7"/>
      <c r="X174" s="7"/>
      <c r="Z174" s="8" t="e">
        <f>VLOOKUP(M174,Personalização!$I$7:$J$16,2,FALSE)</f>
        <v>#N/A</v>
      </c>
    </row>
    <row r="175" spans="6:26" x14ac:dyDescent="0.2">
      <c r="F175" s="96"/>
      <c r="K175" s="167"/>
      <c r="L175" s="77"/>
      <c r="M175" s="169"/>
      <c r="N175" s="169"/>
      <c r="P175" s="7"/>
      <c r="Q175" s="94"/>
      <c r="R175" s="95"/>
      <c r="S175" s="95"/>
      <c r="T175" s="7"/>
      <c r="U175" s="7"/>
      <c r="V175" s="7"/>
      <c r="W175" s="7"/>
      <c r="X175" s="7"/>
      <c r="Z175" s="8" t="e">
        <f>VLOOKUP(M175,Personalização!$I$7:$J$16,2,FALSE)</f>
        <v>#N/A</v>
      </c>
    </row>
    <row r="176" spans="6:26" x14ac:dyDescent="0.2">
      <c r="F176" s="96"/>
      <c r="K176" s="167"/>
      <c r="L176" s="77"/>
      <c r="M176" s="169"/>
      <c r="N176" s="169"/>
      <c r="P176" s="7"/>
      <c r="Q176" s="94"/>
      <c r="R176" s="95"/>
      <c r="S176" s="95"/>
      <c r="T176" s="7"/>
      <c r="U176" s="7"/>
      <c r="V176" s="7"/>
      <c r="W176" s="7"/>
      <c r="X176" s="7"/>
      <c r="Z176" s="8" t="e">
        <f>VLOOKUP(M176,Personalização!$I$7:$J$16,2,FALSE)</f>
        <v>#N/A</v>
      </c>
    </row>
    <row r="177" spans="6:26" x14ac:dyDescent="0.2">
      <c r="F177" s="96"/>
      <c r="K177" s="167"/>
      <c r="L177" s="77"/>
      <c r="M177" s="169"/>
      <c r="N177" s="169"/>
      <c r="P177" s="7"/>
      <c r="Q177" s="94"/>
      <c r="R177" s="95"/>
      <c r="S177" s="95"/>
      <c r="T177" s="7"/>
      <c r="U177" s="7"/>
      <c r="V177" s="7"/>
      <c r="W177" s="7"/>
      <c r="X177" s="7"/>
      <c r="Z177" s="8" t="e">
        <f>VLOOKUP(M177,Personalização!$I$7:$J$16,2,FALSE)</f>
        <v>#N/A</v>
      </c>
    </row>
    <row r="178" spans="6:26" x14ac:dyDescent="0.2">
      <c r="F178" s="96"/>
      <c r="K178" s="167"/>
      <c r="L178" s="77"/>
      <c r="M178" s="169"/>
      <c r="N178" s="169"/>
      <c r="P178" s="7"/>
      <c r="Q178" s="94"/>
      <c r="R178" s="95"/>
      <c r="S178" s="95"/>
      <c r="T178" s="7"/>
      <c r="U178" s="7"/>
      <c r="V178" s="7"/>
      <c r="W178" s="7"/>
      <c r="X178" s="7"/>
      <c r="Z178" s="8" t="e">
        <f>VLOOKUP(M178,Personalização!$I$7:$J$16,2,FALSE)</f>
        <v>#N/A</v>
      </c>
    </row>
    <row r="179" spans="6:26" x14ac:dyDescent="0.2">
      <c r="F179" s="96"/>
      <c r="K179" s="167"/>
      <c r="L179" s="77"/>
      <c r="M179" s="169"/>
      <c r="N179" s="169"/>
      <c r="P179" s="7"/>
      <c r="Q179" s="94"/>
      <c r="R179" s="95"/>
      <c r="S179" s="95"/>
      <c r="T179" s="7"/>
      <c r="U179" s="7"/>
      <c r="V179" s="7"/>
      <c r="W179" s="7"/>
      <c r="X179" s="7"/>
      <c r="Z179" s="8" t="e">
        <f>VLOOKUP(M179,Personalização!$I$7:$J$16,2,FALSE)</f>
        <v>#N/A</v>
      </c>
    </row>
    <row r="180" spans="6:26" x14ac:dyDescent="0.2">
      <c r="F180" s="96"/>
      <c r="K180" s="167"/>
      <c r="L180" s="77"/>
      <c r="M180" s="169"/>
      <c r="N180" s="169"/>
      <c r="P180" s="7"/>
      <c r="Q180" s="94"/>
      <c r="R180" s="95"/>
      <c r="S180" s="95"/>
      <c r="T180" s="7"/>
      <c r="U180" s="7"/>
      <c r="V180" s="7"/>
      <c r="W180" s="7"/>
      <c r="X180" s="7"/>
      <c r="Z180" s="8" t="e">
        <f>VLOOKUP(M180,Personalização!$I$7:$J$16,2,FALSE)</f>
        <v>#N/A</v>
      </c>
    </row>
    <row r="181" spans="6:26" x14ac:dyDescent="0.2">
      <c r="F181" s="96"/>
      <c r="K181" s="167"/>
      <c r="L181" s="77"/>
      <c r="M181" s="169"/>
      <c r="N181" s="169"/>
      <c r="P181" s="7"/>
      <c r="Q181" s="94"/>
      <c r="R181" s="95"/>
      <c r="S181" s="95"/>
      <c r="T181" s="7"/>
      <c r="U181" s="7"/>
      <c r="V181" s="7"/>
      <c r="W181" s="7"/>
      <c r="X181" s="7"/>
      <c r="Z181" s="8" t="e">
        <f>VLOOKUP(M181,Personalização!$I$7:$J$16,2,FALSE)</f>
        <v>#N/A</v>
      </c>
    </row>
    <row r="182" spans="6:26" x14ac:dyDescent="0.2">
      <c r="F182" s="96"/>
      <c r="K182" s="167"/>
      <c r="L182" s="77"/>
      <c r="M182" s="169"/>
      <c r="N182" s="169"/>
      <c r="P182" s="7"/>
      <c r="Q182" s="94"/>
      <c r="R182" s="95"/>
      <c r="S182" s="95"/>
      <c r="T182" s="7"/>
      <c r="U182" s="7"/>
      <c r="V182" s="7"/>
      <c r="W182" s="7"/>
      <c r="X182" s="7"/>
      <c r="Z182" s="8" t="e">
        <f>VLOOKUP(M182,Personalização!$I$7:$J$16,2,FALSE)</f>
        <v>#N/A</v>
      </c>
    </row>
    <row r="183" spans="6:26" x14ac:dyDescent="0.2">
      <c r="F183" s="96"/>
      <c r="K183" s="167"/>
      <c r="L183" s="77"/>
      <c r="M183" s="169"/>
      <c r="N183" s="169"/>
      <c r="P183" s="7"/>
      <c r="Q183" s="94"/>
      <c r="R183" s="95"/>
      <c r="S183" s="95"/>
      <c r="T183" s="7"/>
      <c r="U183" s="7"/>
      <c r="V183" s="7"/>
      <c r="W183" s="7"/>
      <c r="X183" s="7"/>
      <c r="Z183" s="8" t="e">
        <f>VLOOKUP(M183,Personalização!$I$7:$J$16,2,FALSE)</f>
        <v>#N/A</v>
      </c>
    </row>
    <row r="184" spans="6:26" x14ac:dyDescent="0.2">
      <c r="F184" s="96"/>
      <c r="K184" s="167"/>
      <c r="L184" s="77"/>
      <c r="M184" s="169"/>
      <c r="N184" s="169"/>
      <c r="P184" s="7"/>
      <c r="Q184" s="94"/>
      <c r="R184" s="95"/>
      <c r="S184" s="95"/>
      <c r="T184" s="7"/>
      <c r="U184" s="7"/>
      <c r="V184" s="7"/>
      <c r="W184" s="7"/>
      <c r="X184" s="7"/>
      <c r="Z184" s="8" t="e">
        <f>VLOOKUP(M184,Personalização!$I$7:$J$16,2,FALSE)</f>
        <v>#N/A</v>
      </c>
    </row>
    <row r="185" spans="6:26" x14ac:dyDescent="0.2">
      <c r="F185" s="96"/>
      <c r="K185" s="167"/>
      <c r="L185" s="77"/>
      <c r="M185" s="169"/>
      <c r="N185" s="169"/>
      <c r="P185" s="7"/>
      <c r="Q185" s="94"/>
      <c r="R185" s="95"/>
      <c r="S185" s="95"/>
      <c r="T185" s="7"/>
      <c r="U185" s="7"/>
      <c r="V185" s="7"/>
      <c r="W185" s="7"/>
      <c r="X185" s="7"/>
      <c r="Z185" s="8" t="e">
        <f>VLOOKUP(M185,Personalização!$I$7:$J$16,2,FALSE)</f>
        <v>#N/A</v>
      </c>
    </row>
    <row r="186" spans="6:26" x14ac:dyDescent="0.2">
      <c r="F186" s="96"/>
      <c r="K186" s="167"/>
      <c r="L186" s="77"/>
      <c r="M186" s="169"/>
      <c r="N186" s="169"/>
      <c r="P186" s="7"/>
      <c r="Q186" s="94"/>
      <c r="R186" s="95"/>
      <c r="S186" s="95"/>
      <c r="T186" s="7"/>
      <c r="U186" s="7"/>
      <c r="V186" s="7"/>
      <c r="W186" s="7"/>
      <c r="X186" s="7"/>
      <c r="Z186" s="8" t="e">
        <f>VLOOKUP(M186,Personalização!$I$7:$J$16,2,FALSE)</f>
        <v>#N/A</v>
      </c>
    </row>
    <row r="187" spans="6:26" x14ac:dyDescent="0.2">
      <c r="F187" s="96"/>
      <c r="K187" s="167"/>
      <c r="L187" s="77"/>
      <c r="M187" s="169"/>
      <c r="N187" s="169"/>
      <c r="P187" s="7"/>
      <c r="Q187" s="94"/>
      <c r="R187" s="95"/>
      <c r="S187" s="95"/>
      <c r="T187" s="7"/>
      <c r="U187" s="7"/>
      <c r="V187" s="7"/>
      <c r="W187" s="7"/>
      <c r="X187" s="7"/>
      <c r="Z187" s="8" t="e">
        <f>VLOOKUP(M187,Personalização!$I$7:$J$16,2,FALSE)</f>
        <v>#N/A</v>
      </c>
    </row>
    <row r="188" spans="6:26" x14ac:dyDescent="0.2">
      <c r="F188" s="96"/>
      <c r="K188" s="167"/>
      <c r="L188" s="77"/>
      <c r="M188" s="169"/>
      <c r="N188" s="169"/>
      <c r="P188" s="7"/>
      <c r="Q188" s="94"/>
      <c r="R188" s="95"/>
      <c r="S188" s="95"/>
      <c r="T188" s="7"/>
      <c r="U188" s="7"/>
      <c r="V188" s="7"/>
      <c r="W188" s="7"/>
      <c r="X188" s="7"/>
      <c r="Z188" s="8" t="e">
        <f>VLOOKUP(M188,Personalização!$I$7:$J$16,2,FALSE)</f>
        <v>#N/A</v>
      </c>
    </row>
    <row r="189" spans="6:26" x14ac:dyDescent="0.2">
      <c r="F189" s="96"/>
      <c r="K189" s="167"/>
      <c r="L189" s="77"/>
      <c r="M189" s="169"/>
      <c r="N189" s="169"/>
      <c r="P189" s="7"/>
      <c r="Q189" s="94"/>
      <c r="R189" s="95"/>
      <c r="S189" s="95"/>
      <c r="T189" s="7"/>
      <c r="U189" s="7"/>
      <c r="V189" s="7"/>
      <c r="W189" s="7"/>
      <c r="X189" s="7"/>
      <c r="Z189" s="8" t="e">
        <f>VLOOKUP(M189,Personalização!$I$7:$J$16,2,FALSE)</f>
        <v>#N/A</v>
      </c>
    </row>
    <row r="190" spans="6:26" x14ac:dyDescent="0.2">
      <c r="F190" s="96"/>
      <c r="K190" s="167"/>
      <c r="L190" s="77"/>
      <c r="M190" s="169"/>
      <c r="N190" s="169"/>
      <c r="P190" s="7"/>
      <c r="Q190" s="94"/>
      <c r="R190" s="95"/>
      <c r="S190" s="95"/>
      <c r="T190" s="7"/>
      <c r="U190" s="7"/>
      <c r="V190" s="7"/>
      <c r="W190" s="7"/>
      <c r="X190" s="7"/>
      <c r="Z190" s="8" t="e">
        <f>VLOOKUP(M190,Personalização!$I$7:$J$16,2,FALSE)</f>
        <v>#N/A</v>
      </c>
    </row>
    <row r="191" spans="6:26" x14ac:dyDescent="0.2">
      <c r="F191" s="96"/>
      <c r="K191" s="167"/>
      <c r="L191" s="77"/>
      <c r="M191" s="169"/>
      <c r="N191" s="169"/>
      <c r="P191" s="7"/>
      <c r="Q191" s="94"/>
      <c r="R191" s="95"/>
      <c r="S191" s="95"/>
      <c r="T191" s="7"/>
      <c r="U191" s="7"/>
      <c r="V191" s="7"/>
      <c r="W191" s="7"/>
      <c r="X191" s="7"/>
      <c r="Z191" s="8" t="e">
        <f>VLOOKUP(M191,Personalização!$I$7:$J$16,2,FALSE)</f>
        <v>#N/A</v>
      </c>
    </row>
    <row r="192" spans="6:26" x14ac:dyDescent="0.2">
      <c r="F192" s="96"/>
      <c r="K192" s="167"/>
      <c r="L192" s="77"/>
      <c r="M192" s="169"/>
      <c r="N192" s="169"/>
      <c r="P192" s="7"/>
      <c r="Q192" s="94"/>
      <c r="R192" s="95"/>
      <c r="S192" s="95"/>
      <c r="T192" s="7"/>
      <c r="U192" s="7"/>
      <c r="V192" s="7"/>
      <c r="W192" s="7"/>
      <c r="X192" s="7"/>
      <c r="Z192" s="8" t="e">
        <f>VLOOKUP(M192,Personalização!$I$7:$J$16,2,FALSE)</f>
        <v>#N/A</v>
      </c>
    </row>
    <row r="193" spans="6:26" x14ac:dyDescent="0.2">
      <c r="F193" s="96"/>
      <c r="K193" s="167"/>
      <c r="L193" s="77"/>
      <c r="M193" s="169"/>
      <c r="N193" s="169"/>
      <c r="P193" s="7"/>
      <c r="Q193" s="94"/>
      <c r="R193" s="95"/>
      <c r="S193" s="95"/>
      <c r="T193" s="7"/>
      <c r="U193" s="7"/>
      <c r="V193" s="7"/>
      <c r="W193" s="7"/>
      <c r="X193" s="7"/>
      <c r="Z193" s="8" t="e">
        <f>VLOOKUP(M193,Personalização!$I$7:$J$16,2,FALSE)</f>
        <v>#N/A</v>
      </c>
    </row>
    <row r="194" spans="6:26" x14ac:dyDescent="0.2">
      <c r="F194" s="96"/>
      <c r="K194" s="167"/>
      <c r="L194" s="77"/>
      <c r="M194" s="169"/>
      <c r="N194" s="169"/>
      <c r="P194" s="7"/>
      <c r="Q194" s="94"/>
      <c r="R194" s="95"/>
      <c r="S194" s="95"/>
      <c r="T194" s="7"/>
      <c r="U194" s="7"/>
      <c r="V194" s="7"/>
      <c r="W194" s="7"/>
      <c r="X194" s="7"/>
      <c r="Z194" s="8" t="e">
        <f>VLOOKUP(M194,Personalização!$I$7:$J$16,2,FALSE)</f>
        <v>#N/A</v>
      </c>
    </row>
    <row r="195" spans="6:26" x14ac:dyDescent="0.2">
      <c r="F195" s="96"/>
      <c r="K195" s="167"/>
      <c r="L195" s="77"/>
      <c r="M195" s="169"/>
      <c r="N195" s="169"/>
      <c r="P195" s="7"/>
      <c r="Q195" s="94"/>
      <c r="R195" s="95"/>
      <c r="S195" s="95"/>
      <c r="T195" s="7"/>
      <c r="U195" s="7"/>
      <c r="V195" s="7"/>
      <c r="W195" s="7"/>
      <c r="X195" s="7"/>
      <c r="Z195" s="8" t="e">
        <f>VLOOKUP(M195,Personalização!$I$7:$J$16,2,FALSE)</f>
        <v>#N/A</v>
      </c>
    </row>
    <row r="196" spans="6:26" x14ac:dyDescent="0.2">
      <c r="F196" s="96"/>
      <c r="K196" s="167"/>
      <c r="L196" s="77"/>
      <c r="M196" s="169"/>
      <c r="N196" s="169"/>
      <c r="P196" s="7"/>
      <c r="Q196" s="94"/>
      <c r="R196" s="95"/>
      <c r="S196" s="95"/>
      <c r="T196" s="7"/>
      <c r="U196" s="7"/>
      <c r="V196" s="7"/>
      <c r="W196" s="7"/>
      <c r="X196" s="7"/>
      <c r="Z196" s="8" t="e">
        <f>VLOOKUP(M196,Personalização!$I$7:$J$16,2,FALSE)</f>
        <v>#N/A</v>
      </c>
    </row>
    <row r="197" spans="6:26" x14ac:dyDescent="0.2">
      <c r="F197" s="96"/>
      <c r="K197" s="167"/>
      <c r="L197" s="77"/>
      <c r="M197" s="169"/>
      <c r="N197" s="169"/>
      <c r="P197" s="7"/>
      <c r="Q197" s="94"/>
      <c r="R197" s="95"/>
      <c r="S197" s="95"/>
      <c r="T197" s="7"/>
      <c r="U197" s="7"/>
      <c r="V197" s="7"/>
      <c r="W197" s="7"/>
      <c r="X197" s="7"/>
      <c r="Z197" s="8" t="e">
        <f>VLOOKUP(M197,Personalização!$I$7:$J$16,2,FALSE)</f>
        <v>#N/A</v>
      </c>
    </row>
    <row r="198" spans="6:26" x14ac:dyDescent="0.2">
      <c r="F198" s="96"/>
      <c r="K198" s="167"/>
      <c r="L198" s="77"/>
      <c r="M198" s="169"/>
      <c r="N198" s="169"/>
      <c r="P198" s="7"/>
      <c r="Q198" s="94"/>
      <c r="R198" s="95"/>
      <c r="S198" s="95"/>
      <c r="T198" s="7"/>
      <c r="U198" s="7"/>
      <c r="V198" s="7"/>
      <c r="W198" s="7"/>
      <c r="X198" s="7"/>
      <c r="Z198" s="8" t="e">
        <f>VLOOKUP(M198,Personalização!$I$7:$J$16,2,FALSE)</f>
        <v>#N/A</v>
      </c>
    </row>
    <row r="199" spans="6:26" x14ac:dyDescent="0.2">
      <c r="F199" s="96"/>
      <c r="K199" s="167"/>
      <c r="L199" s="77"/>
      <c r="M199" s="169"/>
      <c r="N199" s="169"/>
      <c r="P199" s="7"/>
      <c r="Q199" s="94"/>
      <c r="R199" s="95"/>
      <c r="S199" s="95"/>
      <c r="T199" s="7"/>
      <c r="U199" s="7"/>
      <c r="V199" s="7"/>
      <c r="W199" s="7"/>
      <c r="X199" s="7"/>
      <c r="Z199" s="8" t="e">
        <f>VLOOKUP(M199,Personalização!$I$7:$J$16,2,FALSE)</f>
        <v>#N/A</v>
      </c>
    </row>
    <row r="200" spans="6:26" x14ac:dyDescent="0.2">
      <c r="F200" s="96"/>
      <c r="K200" s="167"/>
      <c r="L200" s="77"/>
      <c r="M200" s="169"/>
      <c r="N200" s="169"/>
      <c r="P200" s="7"/>
      <c r="Q200" s="97"/>
      <c r="R200" s="95"/>
      <c r="S200" s="95"/>
      <c r="T200" s="7"/>
      <c r="U200" s="7"/>
      <c r="V200" s="7"/>
      <c r="W200" s="7"/>
      <c r="X200" s="7"/>
      <c r="Z200" s="8" t="e">
        <f>VLOOKUP(M200,Personalização!$I$7:$J$16,2,FALSE)</f>
        <v>#N/A</v>
      </c>
    </row>
    <row r="201" spans="6:26" x14ac:dyDescent="0.2">
      <c r="K201" s="167"/>
      <c r="L201" s="77"/>
      <c r="M201" s="169"/>
      <c r="N201" s="169"/>
      <c r="P201" s="7"/>
      <c r="Q201" s="94"/>
      <c r="R201" s="95"/>
      <c r="S201" s="95"/>
      <c r="T201" s="7"/>
      <c r="U201" s="7"/>
      <c r="V201" s="7"/>
      <c r="W201" s="7"/>
      <c r="X201" s="7"/>
      <c r="Z201" s="8" t="e">
        <f>VLOOKUP(M201,Personalização!$I$7:$J$16,2,FALSE)</f>
        <v>#N/A</v>
      </c>
    </row>
    <row r="202" spans="6:26" x14ac:dyDescent="0.2">
      <c r="K202" s="167"/>
      <c r="L202" s="77"/>
      <c r="M202" s="169"/>
      <c r="N202" s="169"/>
      <c r="P202" s="7"/>
      <c r="Q202" s="94"/>
      <c r="R202" s="95"/>
      <c r="S202" s="95"/>
      <c r="T202" s="7"/>
      <c r="U202" s="7"/>
      <c r="V202" s="7"/>
      <c r="W202" s="7"/>
      <c r="X202" s="7"/>
      <c r="Z202" s="8" t="e">
        <f>VLOOKUP(M202,Personalização!$I$7:$J$16,2,FALSE)</f>
        <v>#N/A</v>
      </c>
    </row>
    <row r="203" spans="6:26" x14ac:dyDescent="0.2">
      <c r="K203" s="167"/>
      <c r="L203" s="77"/>
      <c r="M203" s="169"/>
      <c r="N203" s="169"/>
      <c r="P203" s="7"/>
      <c r="Q203" s="94"/>
      <c r="R203" s="95"/>
      <c r="S203" s="95"/>
      <c r="T203" s="7"/>
      <c r="U203" s="7"/>
      <c r="V203" s="7"/>
      <c r="W203" s="7"/>
      <c r="X203" s="7"/>
      <c r="Z203" s="8" t="e">
        <f>VLOOKUP(M203,Personalização!$I$7:$J$16,2,FALSE)</f>
        <v>#N/A</v>
      </c>
    </row>
    <row r="204" spans="6:26" x14ac:dyDescent="0.2">
      <c r="K204" s="167"/>
      <c r="L204" s="77"/>
      <c r="M204" s="169"/>
      <c r="N204" s="169"/>
      <c r="P204" s="7"/>
      <c r="Q204" s="94"/>
      <c r="R204" s="95"/>
      <c r="S204" s="95"/>
      <c r="T204" s="7"/>
      <c r="U204" s="7"/>
      <c r="V204" s="7"/>
      <c r="W204" s="7"/>
      <c r="X204" s="7"/>
      <c r="Z204" s="8" t="e">
        <f>VLOOKUP(M204,Personalização!$I$7:$J$16,2,FALSE)</f>
        <v>#N/A</v>
      </c>
    </row>
    <row r="205" spans="6:26" x14ac:dyDescent="0.2">
      <c r="K205" s="167"/>
      <c r="L205" s="77"/>
      <c r="M205" s="169"/>
      <c r="N205" s="169"/>
      <c r="P205" s="7"/>
      <c r="Q205" s="94"/>
      <c r="R205" s="95"/>
      <c r="S205" s="95"/>
      <c r="T205" s="7"/>
      <c r="U205" s="7"/>
      <c r="V205" s="7"/>
      <c r="W205" s="7"/>
      <c r="X205" s="7"/>
      <c r="Z205" s="8" t="e">
        <f>VLOOKUP(M205,Personalização!$I$7:$J$16,2,FALSE)</f>
        <v>#N/A</v>
      </c>
    </row>
    <row r="206" spans="6:26" x14ac:dyDescent="0.2">
      <c r="K206" s="167"/>
      <c r="L206" s="77"/>
      <c r="M206" s="169"/>
      <c r="N206" s="169"/>
      <c r="P206" s="7"/>
      <c r="Q206" s="94"/>
      <c r="R206" s="95"/>
      <c r="S206" s="95"/>
      <c r="T206" s="7"/>
      <c r="U206" s="7"/>
      <c r="V206" s="7"/>
      <c r="W206" s="7"/>
      <c r="X206" s="7"/>
      <c r="Z206" s="8" t="e">
        <f>VLOOKUP(M206,Personalização!$I$7:$J$16,2,FALSE)</f>
        <v>#N/A</v>
      </c>
    </row>
    <row r="207" spans="6:26" x14ac:dyDescent="0.2">
      <c r="K207" s="167"/>
      <c r="L207" s="77"/>
      <c r="M207" s="169"/>
      <c r="N207" s="169"/>
      <c r="P207" s="7"/>
      <c r="Q207" s="94"/>
      <c r="R207" s="95"/>
      <c r="S207" s="95"/>
      <c r="T207" s="7"/>
      <c r="U207" s="7"/>
      <c r="V207" s="7"/>
      <c r="W207" s="7"/>
      <c r="X207" s="7"/>
      <c r="Z207" s="8" t="e">
        <f>VLOOKUP(M207,Personalização!$I$7:$J$16,2,FALSE)</f>
        <v>#N/A</v>
      </c>
    </row>
    <row r="208" spans="6:26" x14ac:dyDescent="0.2">
      <c r="K208" s="167"/>
      <c r="L208" s="77"/>
      <c r="M208" s="169"/>
      <c r="N208" s="169"/>
      <c r="P208" s="7"/>
      <c r="Q208" s="94"/>
      <c r="R208" s="95"/>
      <c r="S208" s="95"/>
      <c r="T208" s="7"/>
      <c r="U208" s="7"/>
      <c r="V208" s="7"/>
      <c r="W208" s="7"/>
      <c r="X208" s="7"/>
      <c r="Z208" s="8" t="e">
        <f>VLOOKUP(M208,Personalização!$I$7:$J$16,2,FALSE)</f>
        <v>#N/A</v>
      </c>
    </row>
    <row r="209" spans="11:26" x14ac:dyDescent="0.2">
      <c r="K209" s="167"/>
      <c r="L209" s="77"/>
      <c r="M209" s="169"/>
      <c r="N209" s="169"/>
      <c r="P209" s="7"/>
      <c r="Q209" s="94"/>
      <c r="R209" s="95"/>
      <c r="S209" s="95"/>
      <c r="T209" s="7"/>
      <c r="U209" s="7"/>
      <c r="V209" s="7"/>
      <c r="W209" s="7"/>
      <c r="X209" s="7"/>
      <c r="Z209" s="8" t="e">
        <f>VLOOKUP(M209,Personalização!$I$7:$J$16,2,FALSE)</f>
        <v>#N/A</v>
      </c>
    </row>
    <row r="210" spans="11:26" x14ac:dyDescent="0.2">
      <c r="K210" s="167"/>
      <c r="L210" s="77"/>
      <c r="M210" s="169"/>
      <c r="N210" s="169"/>
      <c r="P210" s="7"/>
      <c r="Q210" s="94"/>
      <c r="R210" s="95"/>
      <c r="S210" s="95"/>
      <c r="T210" s="7"/>
      <c r="U210" s="7"/>
      <c r="V210" s="7"/>
      <c r="W210" s="7"/>
      <c r="X210" s="7"/>
      <c r="Z210" s="8" t="e">
        <f>VLOOKUP(M210,Personalização!$I$7:$J$16,2,FALSE)</f>
        <v>#N/A</v>
      </c>
    </row>
    <row r="211" spans="11:26" x14ac:dyDescent="0.2">
      <c r="K211" s="167"/>
      <c r="L211" s="77"/>
      <c r="M211" s="169"/>
      <c r="N211" s="169"/>
      <c r="P211" s="7"/>
      <c r="Q211" s="94"/>
      <c r="R211" s="95"/>
      <c r="S211" s="95"/>
      <c r="T211" s="7"/>
      <c r="U211" s="7"/>
      <c r="V211" s="7"/>
      <c r="W211" s="7"/>
      <c r="X211" s="7"/>
      <c r="Z211" s="8" t="e">
        <f>VLOOKUP(M211,Personalização!$I$7:$J$16,2,FALSE)</f>
        <v>#N/A</v>
      </c>
    </row>
    <row r="212" spans="11:26" x14ac:dyDescent="0.2">
      <c r="K212" s="167"/>
      <c r="L212" s="77"/>
      <c r="M212" s="169"/>
      <c r="N212" s="169"/>
      <c r="P212" s="7"/>
      <c r="Q212" s="94"/>
      <c r="R212" s="95"/>
      <c r="S212" s="95"/>
      <c r="T212" s="7"/>
      <c r="U212" s="7"/>
      <c r="V212" s="7"/>
      <c r="W212" s="7"/>
      <c r="X212" s="7"/>
      <c r="Z212" s="8" t="e">
        <f>VLOOKUP(M212,Personalização!$I$7:$J$16,2,FALSE)</f>
        <v>#N/A</v>
      </c>
    </row>
    <row r="213" spans="11:26" x14ac:dyDescent="0.2">
      <c r="K213" s="167"/>
      <c r="L213" s="77"/>
      <c r="M213" s="169"/>
      <c r="N213" s="169"/>
      <c r="P213" s="7"/>
      <c r="Q213" s="94"/>
      <c r="R213" s="95"/>
      <c r="S213" s="95"/>
      <c r="T213" s="7"/>
      <c r="U213" s="7"/>
      <c r="V213" s="7"/>
      <c r="W213" s="7"/>
      <c r="X213" s="7"/>
      <c r="Z213" s="8" t="e">
        <f>VLOOKUP(M213,Personalização!$I$7:$J$16,2,FALSE)</f>
        <v>#N/A</v>
      </c>
    </row>
    <row r="214" spans="11:26" x14ac:dyDescent="0.2">
      <c r="K214" s="167"/>
      <c r="L214" s="77"/>
      <c r="M214" s="169"/>
      <c r="N214" s="169"/>
      <c r="P214" s="7"/>
      <c r="Q214" s="94"/>
      <c r="R214" s="95"/>
      <c r="S214" s="95"/>
      <c r="T214" s="7"/>
      <c r="U214" s="7"/>
      <c r="V214" s="7"/>
      <c r="W214" s="7"/>
      <c r="X214" s="7"/>
      <c r="Z214" s="8" t="e">
        <f>VLOOKUP(M214,Personalização!$I$7:$J$16,2,FALSE)</f>
        <v>#N/A</v>
      </c>
    </row>
    <row r="215" spans="11:26" x14ac:dyDescent="0.2">
      <c r="K215" s="167"/>
      <c r="L215" s="77"/>
      <c r="M215" s="169"/>
      <c r="N215" s="169"/>
      <c r="P215" s="7"/>
      <c r="Q215" s="94"/>
      <c r="R215" s="95"/>
      <c r="S215" s="95"/>
      <c r="T215" s="7"/>
      <c r="U215" s="7"/>
      <c r="V215" s="7"/>
      <c r="W215" s="7"/>
      <c r="X215" s="7"/>
      <c r="Z215" s="8" t="e">
        <f>VLOOKUP(M215,Personalização!$I$7:$J$16,2,FALSE)</f>
        <v>#N/A</v>
      </c>
    </row>
    <row r="216" spans="11:26" x14ac:dyDescent="0.2">
      <c r="K216" s="167"/>
      <c r="L216" s="77"/>
      <c r="M216" s="169"/>
      <c r="N216" s="169"/>
      <c r="P216" s="7"/>
      <c r="Q216" s="94"/>
      <c r="R216" s="95"/>
      <c r="S216" s="95"/>
      <c r="T216" s="7"/>
      <c r="U216" s="7"/>
      <c r="V216" s="7"/>
      <c r="W216" s="7"/>
      <c r="X216" s="7"/>
      <c r="Z216" s="8" t="e">
        <f>VLOOKUP(M216,Personalização!$I$7:$J$16,2,FALSE)</f>
        <v>#N/A</v>
      </c>
    </row>
    <row r="217" spans="11:26" x14ac:dyDescent="0.2">
      <c r="K217" s="167"/>
      <c r="L217" s="77"/>
      <c r="M217" s="169"/>
      <c r="N217" s="169"/>
      <c r="P217" s="7"/>
      <c r="Q217" s="94"/>
      <c r="R217" s="95"/>
      <c r="S217" s="95"/>
      <c r="T217" s="7"/>
      <c r="U217" s="7"/>
      <c r="V217" s="7"/>
      <c r="W217" s="7"/>
      <c r="X217" s="7"/>
      <c r="Z217" s="8" t="e">
        <f>VLOOKUP(M217,Personalização!$I$7:$J$16,2,FALSE)</f>
        <v>#N/A</v>
      </c>
    </row>
    <row r="218" spans="11:26" x14ac:dyDescent="0.2">
      <c r="K218" s="167"/>
      <c r="L218" s="77"/>
      <c r="M218" s="169"/>
      <c r="N218" s="169"/>
      <c r="P218" s="7"/>
      <c r="Q218" s="94"/>
      <c r="R218" s="95"/>
      <c r="S218" s="95"/>
      <c r="T218" s="7"/>
      <c r="U218" s="7"/>
      <c r="V218" s="7"/>
      <c r="W218" s="7"/>
      <c r="X218" s="7"/>
      <c r="Z218" s="8" t="e">
        <f>VLOOKUP(M218,Personalização!$I$7:$J$16,2,FALSE)</f>
        <v>#N/A</v>
      </c>
    </row>
    <row r="219" spans="11:26" x14ac:dyDescent="0.2">
      <c r="K219" s="167"/>
      <c r="L219" s="77"/>
      <c r="M219" s="169"/>
      <c r="N219" s="169"/>
      <c r="P219" s="7"/>
      <c r="Q219" s="94"/>
      <c r="R219" s="95"/>
      <c r="S219" s="95"/>
      <c r="T219" s="7"/>
      <c r="U219" s="7"/>
      <c r="V219" s="7"/>
      <c r="W219" s="7"/>
      <c r="X219" s="7"/>
      <c r="Z219" s="8" t="e">
        <f>VLOOKUP(M219,Personalização!$I$7:$J$16,2,FALSE)</f>
        <v>#N/A</v>
      </c>
    </row>
    <row r="220" spans="11:26" x14ac:dyDescent="0.2">
      <c r="K220" s="167"/>
      <c r="L220" s="77"/>
      <c r="M220" s="169"/>
      <c r="N220" s="169"/>
      <c r="P220" s="7"/>
      <c r="Q220" s="94"/>
      <c r="R220" s="95"/>
      <c r="S220" s="95"/>
      <c r="T220" s="7"/>
      <c r="U220" s="7"/>
      <c r="V220" s="7"/>
      <c r="W220" s="7"/>
      <c r="X220" s="7"/>
      <c r="Z220" s="8" t="e">
        <f>VLOOKUP(M220,Personalização!$I$7:$J$16,2,FALSE)</f>
        <v>#N/A</v>
      </c>
    </row>
    <row r="221" spans="11:26" x14ac:dyDescent="0.2">
      <c r="K221" s="167"/>
      <c r="L221" s="77"/>
      <c r="M221" s="169"/>
      <c r="N221" s="169"/>
      <c r="P221" s="7"/>
      <c r="Q221" s="94"/>
      <c r="R221" s="95"/>
      <c r="S221" s="95"/>
      <c r="T221" s="7"/>
      <c r="U221" s="7"/>
      <c r="V221" s="7"/>
      <c r="W221" s="7"/>
      <c r="X221" s="7"/>
      <c r="Z221" s="8" t="e">
        <f>VLOOKUP(M221,Personalização!$I$7:$J$16,2,FALSE)</f>
        <v>#N/A</v>
      </c>
    </row>
    <row r="222" spans="11:26" x14ac:dyDescent="0.2">
      <c r="K222" s="167"/>
      <c r="L222" s="77"/>
      <c r="M222" s="169"/>
      <c r="N222" s="169"/>
      <c r="P222" s="7"/>
      <c r="Q222" s="94"/>
      <c r="R222" s="95"/>
      <c r="S222" s="95"/>
      <c r="T222" s="7"/>
      <c r="U222" s="7"/>
      <c r="V222" s="7"/>
      <c r="W222" s="7"/>
      <c r="X222" s="7"/>
      <c r="Z222" s="8" t="e">
        <f>VLOOKUP(M222,Personalização!$I$7:$J$16,2,FALSE)</f>
        <v>#N/A</v>
      </c>
    </row>
    <row r="223" spans="11:26" x14ac:dyDescent="0.2">
      <c r="K223" s="167"/>
      <c r="L223" s="77"/>
      <c r="M223" s="169"/>
      <c r="N223" s="169"/>
      <c r="P223" s="7"/>
      <c r="Q223" s="94"/>
      <c r="R223" s="95"/>
      <c r="S223" s="95"/>
      <c r="T223" s="7"/>
      <c r="U223" s="7"/>
      <c r="V223" s="7"/>
      <c r="W223" s="7"/>
      <c r="X223" s="7"/>
      <c r="Z223" s="8" t="e">
        <f>VLOOKUP(M223,Personalização!$I$7:$J$16,2,FALSE)</f>
        <v>#N/A</v>
      </c>
    </row>
    <row r="224" spans="11:26" x14ac:dyDescent="0.2">
      <c r="K224" s="167"/>
      <c r="L224" s="77"/>
      <c r="M224" s="169"/>
      <c r="N224" s="169"/>
      <c r="P224" s="7"/>
      <c r="Q224" s="94"/>
      <c r="R224" s="95"/>
      <c r="S224" s="95"/>
      <c r="T224" s="7"/>
      <c r="U224" s="7"/>
      <c r="V224" s="7"/>
      <c r="W224" s="7"/>
      <c r="X224" s="7"/>
      <c r="Z224" s="8" t="e">
        <f>VLOOKUP(M224,Personalização!$I$7:$J$16,2,FALSE)</f>
        <v>#N/A</v>
      </c>
    </row>
    <row r="225" spans="11:26" x14ac:dyDescent="0.2">
      <c r="K225" s="167"/>
      <c r="L225" s="77"/>
      <c r="M225" s="169"/>
      <c r="N225" s="169"/>
      <c r="P225" s="7"/>
      <c r="Q225" s="94"/>
      <c r="R225" s="95"/>
      <c r="S225" s="95"/>
      <c r="T225" s="7"/>
      <c r="U225" s="7"/>
      <c r="V225" s="7"/>
      <c r="W225" s="7"/>
      <c r="X225" s="7"/>
      <c r="Z225" s="8" t="e">
        <f>VLOOKUP(M225,Personalização!$I$7:$J$16,2,FALSE)</f>
        <v>#N/A</v>
      </c>
    </row>
    <row r="226" spans="11:26" x14ac:dyDescent="0.2">
      <c r="K226" s="167"/>
      <c r="L226" s="77"/>
      <c r="M226" s="169"/>
      <c r="N226" s="169"/>
      <c r="P226" s="7"/>
      <c r="Q226" s="94"/>
      <c r="R226" s="95"/>
      <c r="S226" s="95"/>
      <c r="T226" s="7"/>
      <c r="U226" s="7"/>
      <c r="V226" s="7"/>
      <c r="W226" s="7"/>
      <c r="X226" s="7"/>
      <c r="Z226" s="8" t="e">
        <f>VLOOKUP(M226,Personalização!$I$7:$J$16,2,FALSE)</f>
        <v>#N/A</v>
      </c>
    </row>
    <row r="227" spans="11:26" x14ac:dyDescent="0.2">
      <c r="K227" s="167"/>
      <c r="L227" s="77"/>
      <c r="M227" s="169"/>
      <c r="N227" s="169"/>
      <c r="P227" s="7"/>
      <c r="Q227" s="94"/>
      <c r="R227" s="95"/>
      <c r="S227" s="95"/>
      <c r="T227" s="7"/>
      <c r="U227" s="7"/>
      <c r="V227" s="7"/>
      <c r="W227" s="7"/>
      <c r="X227" s="7"/>
      <c r="Z227" s="8" t="e">
        <f>VLOOKUP(M227,Personalização!$I$7:$J$16,2,FALSE)</f>
        <v>#N/A</v>
      </c>
    </row>
    <row r="228" spans="11:26" x14ac:dyDescent="0.2">
      <c r="K228" s="167"/>
      <c r="L228" s="77"/>
      <c r="M228" s="169"/>
      <c r="N228" s="169"/>
      <c r="P228" s="7"/>
      <c r="Q228" s="94"/>
      <c r="R228" s="95"/>
      <c r="S228" s="95"/>
      <c r="T228" s="7"/>
      <c r="U228" s="7"/>
      <c r="V228" s="7"/>
      <c r="W228" s="7"/>
      <c r="X228" s="7"/>
      <c r="Z228" s="8" t="e">
        <f>VLOOKUP(M228,Personalização!$I$7:$J$16,2,FALSE)</f>
        <v>#N/A</v>
      </c>
    </row>
    <row r="229" spans="11:26" x14ac:dyDescent="0.2">
      <c r="K229" s="167"/>
      <c r="L229" s="77"/>
      <c r="M229" s="169"/>
      <c r="N229" s="169"/>
      <c r="P229" s="7"/>
      <c r="Q229" s="94"/>
      <c r="R229" s="95"/>
      <c r="S229" s="95"/>
      <c r="T229" s="7"/>
      <c r="U229" s="7"/>
      <c r="V229" s="7"/>
      <c r="W229" s="7"/>
      <c r="X229" s="7"/>
      <c r="Z229" s="8" t="e">
        <f>VLOOKUP(M229,Personalização!$I$7:$J$16,2,FALSE)</f>
        <v>#N/A</v>
      </c>
    </row>
    <row r="230" spans="11:26" x14ac:dyDescent="0.2">
      <c r="K230" s="167"/>
      <c r="L230" s="77"/>
      <c r="M230" s="169"/>
      <c r="N230" s="169"/>
      <c r="P230" s="7"/>
      <c r="Q230" s="94"/>
      <c r="R230" s="95"/>
      <c r="S230" s="95"/>
      <c r="T230" s="7"/>
      <c r="U230" s="7"/>
      <c r="V230" s="7"/>
      <c r="W230" s="7"/>
      <c r="X230" s="7"/>
      <c r="Z230" s="8" t="e">
        <f>VLOOKUP(M230,Personalização!$I$7:$J$16,2,FALSE)</f>
        <v>#N/A</v>
      </c>
    </row>
    <row r="231" spans="11:26" x14ac:dyDescent="0.2">
      <c r="K231" s="167"/>
      <c r="L231" s="77"/>
      <c r="M231" s="169"/>
      <c r="N231" s="169"/>
      <c r="P231" s="7"/>
      <c r="Q231" s="94"/>
      <c r="R231" s="95"/>
      <c r="S231" s="95"/>
      <c r="T231" s="7"/>
      <c r="U231" s="7"/>
      <c r="V231" s="7"/>
      <c r="W231" s="7"/>
      <c r="X231" s="7"/>
      <c r="Z231" s="8" t="e">
        <f>VLOOKUP(M231,Personalização!$I$7:$J$16,2,FALSE)</f>
        <v>#N/A</v>
      </c>
    </row>
    <row r="232" spans="11:26" x14ac:dyDescent="0.2">
      <c r="K232" s="167"/>
      <c r="L232" s="77"/>
      <c r="M232" s="169"/>
      <c r="N232" s="169"/>
      <c r="P232" s="7"/>
      <c r="Q232" s="94"/>
      <c r="R232" s="95"/>
      <c r="S232" s="95"/>
      <c r="T232" s="7"/>
      <c r="U232" s="7"/>
      <c r="V232" s="7"/>
      <c r="W232" s="7"/>
      <c r="X232" s="7"/>
      <c r="Z232" s="8" t="e">
        <f>VLOOKUP(M232,Personalização!$I$7:$J$16,2,FALSE)</f>
        <v>#N/A</v>
      </c>
    </row>
    <row r="233" spans="11:26" x14ac:dyDescent="0.2">
      <c r="K233" s="167"/>
      <c r="L233" s="77"/>
      <c r="M233" s="169"/>
      <c r="N233" s="169"/>
      <c r="P233" s="7"/>
      <c r="Q233" s="94"/>
      <c r="R233" s="95"/>
      <c r="S233" s="95"/>
      <c r="T233" s="7"/>
      <c r="U233" s="7"/>
      <c r="V233" s="7"/>
      <c r="W233" s="7"/>
      <c r="X233" s="7"/>
      <c r="Z233" s="8" t="e">
        <f>VLOOKUP(M233,Personalização!$I$7:$J$16,2,FALSE)</f>
        <v>#N/A</v>
      </c>
    </row>
    <row r="234" spans="11:26" x14ac:dyDescent="0.2">
      <c r="K234" s="167"/>
      <c r="L234" s="77"/>
      <c r="M234" s="169"/>
      <c r="N234" s="169"/>
      <c r="P234" s="7"/>
      <c r="Q234" s="94"/>
      <c r="R234" s="95"/>
      <c r="S234" s="95"/>
      <c r="T234" s="7"/>
      <c r="U234" s="7"/>
      <c r="V234" s="7"/>
      <c r="W234" s="7"/>
      <c r="X234" s="7"/>
      <c r="Z234" s="8" t="e">
        <f>VLOOKUP(M234,Personalização!$I$7:$J$16,2,FALSE)</f>
        <v>#N/A</v>
      </c>
    </row>
    <row r="235" spans="11:26" x14ac:dyDescent="0.2">
      <c r="K235" s="167"/>
      <c r="L235" s="77"/>
      <c r="M235" s="169"/>
      <c r="N235" s="169"/>
      <c r="P235" s="7"/>
      <c r="Q235" s="94"/>
      <c r="R235" s="95"/>
      <c r="S235" s="95"/>
      <c r="T235" s="7"/>
      <c r="U235" s="7"/>
      <c r="V235" s="7"/>
      <c r="W235" s="7"/>
      <c r="X235" s="7"/>
      <c r="Z235" s="8" t="e">
        <f>VLOOKUP(M235,Personalização!$I$7:$J$16,2,FALSE)</f>
        <v>#N/A</v>
      </c>
    </row>
    <row r="236" spans="11:26" x14ac:dyDescent="0.2">
      <c r="K236" s="167"/>
      <c r="L236" s="77"/>
      <c r="M236" s="169"/>
      <c r="N236" s="169"/>
      <c r="P236" s="7"/>
      <c r="Q236" s="94"/>
      <c r="R236" s="95"/>
      <c r="S236" s="95"/>
      <c r="T236" s="7"/>
      <c r="U236" s="7"/>
      <c r="V236" s="7"/>
      <c r="W236" s="7"/>
      <c r="X236" s="7"/>
      <c r="Z236" s="8" t="e">
        <f>VLOOKUP(M236,Personalização!$I$7:$J$16,2,FALSE)</f>
        <v>#N/A</v>
      </c>
    </row>
    <row r="237" spans="11:26" x14ac:dyDescent="0.2">
      <c r="K237" s="167"/>
      <c r="L237" s="77"/>
      <c r="M237" s="169"/>
      <c r="N237" s="169"/>
      <c r="P237" s="7"/>
      <c r="Q237" s="94"/>
      <c r="R237" s="95"/>
      <c r="S237" s="95"/>
      <c r="T237" s="7"/>
      <c r="U237" s="7"/>
      <c r="V237" s="7"/>
      <c r="W237" s="7"/>
      <c r="X237" s="7"/>
      <c r="Z237" s="8" t="e">
        <f>VLOOKUP(M237,Personalização!$I$7:$J$16,2,FALSE)</f>
        <v>#N/A</v>
      </c>
    </row>
    <row r="238" spans="11:26" x14ac:dyDescent="0.2">
      <c r="K238" s="167"/>
      <c r="L238" s="77"/>
      <c r="M238" s="169"/>
      <c r="N238" s="169"/>
      <c r="P238" s="7"/>
      <c r="Q238" s="94"/>
      <c r="R238" s="95"/>
      <c r="S238" s="95"/>
      <c r="T238" s="7"/>
      <c r="U238" s="7"/>
      <c r="V238" s="7"/>
      <c r="W238" s="7"/>
      <c r="X238" s="7"/>
      <c r="Z238" s="8" t="e">
        <f>VLOOKUP(M238,Personalização!$I$7:$J$16,2,FALSE)</f>
        <v>#N/A</v>
      </c>
    </row>
    <row r="239" spans="11:26" x14ac:dyDescent="0.2">
      <c r="K239" s="167"/>
      <c r="L239" s="77"/>
      <c r="M239" s="169"/>
      <c r="N239" s="169"/>
      <c r="P239" s="7"/>
      <c r="Q239" s="94"/>
      <c r="R239" s="95"/>
      <c r="S239" s="95"/>
      <c r="T239" s="7"/>
      <c r="U239" s="7"/>
      <c r="V239" s="7"/>
      <c r="W239" s="7"/>
      <c r="X239" s="7"/>
      <c r="Z239" s="8" t="e">
        <f>VLOOKUP(M239,Personalização!$I$7:$J$16,2,FALSE)</f>
        <v>#N/A</v>
      </c>
    </row>
    <row r="240" spans="11:26" x14ac:dyDescent="0.2">
      <c r="K240" s="167"/>
      <c r="L240" s="77"/>
      <c r="M240" s="169"/>
      <c r="N240" s="169"/>
      <c r="P240" s="7"/>
      <c r="Q240" s="94"/>
      <c r="R240" s="95"/>
      <c r="S240" s="95"/>
      <c r="T240" s="7"/>
      <c r="U240" s="7"/>
      <c r="V240" s="7"/>
      <c r="W240" s="7"/>
      <c r="X240" s="7"/>
      <c r="Z240" s="8" t="e">
        <f>VLOOKUP(M240,Personalização!$I$7:$J$16,2,FALSE)</f>
        <v>#N/A</v>
      </c>
    </row>
    <row r="241" spans="11:26" x14ac:dyDescent="0.2">
      <c r="K241" s="167"/>
      <c r="L241" s="77"/>
      <c r="M241" s="169"/>
      <c r="N241" s="169"/>
      <c r="P241" s="7"/>
      <c r="Q241" s="94"/>
      <c r="R241" s="95"/>
      <c r="S241" s="95"/>
      <c r="T241" s="7"/>
      <c r="U241" s="7"/>
      <c r="V241" s="7"/>
      <c r="W241" s="7"/>
      <c r="X241" s="7"/>
      <c r="Z241" s="8" t="e">
        <f>VLOOKUP(M241,Personalização!$I$7:$J$16,2,FALSE)</f>
        <v>#N/A</v>
      </c>
    </row>
    <row r="242" spans="11:26" x14ac:dyDescent="0.2">
      <c r="K242" s="167"/>
      <c r="L242" s="77"/>
      <c r="M242" s="169"/>
      <c r="N242" s="169"/>
      <c r="P242" s="7"/>
      <c r="Q242" s="94"/>
      <c r="R242" s="95"/>
      <c r="S242" s="95"/>
      <c r="T242" s="7"/>
      <c r="U242" s="7"/>
      <c r="V242" s="7"/>
      <c r="W242" s="7"/>
      <c r="X242" s="7"/>
      <c r="Z242" s="8" t="e">
        <f>VLOOKUP(M242,Personalização!$I$7:$J$16,2,FALSE)</f>
        <v>#N/A</v>
      </c>
    </row>
    <row r="243" spans="11:26" x14ac:dyDescent="0.2">
      <c r="K243" s="167"/>
      <c r="L243" s="77"/>
      <c r="M243" s="169"/>
      <c r="N243" s="169"/>
      <c r="P243" s="7"/>
      <c r="Q243" s="94"/>
      <c r="R243" s="95"/>
      <c r="S243" s="95"/>
      <c r="T243" s="7"/>
      <c r="U243" s="7"/>
      <c r="V243" s="7"/>
      <c r="W243" s="7"/>
      <c r="X243" s="7"/>
      <c r="Z243" s="8" t="e">
        <f>VLOOKUP(M243,Personalização!$I$7:$J$16,2,FALSE)</f>
        <v>#N/A</v>
      </c>
    </row>
    <row r="244" spans="11:26" x14ac:dyDescent="0.2">
      <c r="K244" s="167"/>
      <c r="L244" s="77"/>
      <c r="M244" s="169"/>
      <c r="N244" s="169"/>
      <c r="P244" s="7"/>
      <c r="Q244" s="94"/>
      <c r="R244" s="95"/>
      <c r="S244" s="95"/>
      <c r="T244" s="7"/>
      <c r="U244" s="7"/>
      <c r="V244" s="7"/>
      <c r="W244" s="7"/>
      <c r="X244" s="7"/>
      <c r="Z244" s="8" t="e">
        <f>VLOOKUP(M244,Personalização!$I$7:$J$16,2,FALSE)</f>
        <v>#N/A</v>
      </c>
    </row>
    <row r="245" spans="11:26" x14ac:dyDescent="0.2">
      <c r="K245" s="167"/>
      <c r="L245" s="77"/>
      <c r="M245" s="169"/>
      <c r="N245" s="169"/>
      <c r="P245" s="7"/>
      <c r="Q245" s="94"/>
      <c r="R245" s="95"/>
      <c r="S245" s="95"/>
      <c r="T245" s="7"/>
      <c r="U245" s="7"/>
      <c r="V245" s="7"/>
      <c r="W245" s="7"/>
      <c r="X245" s="7"/>
      <c r="Z245" s="8" t="e">
        <f>VLOOKUP(M245,Personalização!$I$7:$J$16,2,FALSE)</f>
        <v>#N/A</v>
      </c>
    </row>
    <row r="246" spans="11:26" x14ac:dyDescent="0.2">
      <c r="K246" s="167"/>
      <c r="L246" s="77"/>
      <c r="M246" s="169"/>
      <c r="N246" s="169"/>
      <c r="P246" s="7"/>
      <c r="Q246" s="94"/>
      <c r="R246" s="95"/>
      <c r="S246" s="95"/>
      <c r="T246" s="7"/>
      <c r="U246" s="7"/>
      <c r="V246" s="7"/>
      <c r="W246" s="7"/>
      <c r="X246" s="7"/>
      <c r="Z246" s="8" t="e">
        <f>VLOOKUP(M246,Personalização!$I$7:$J$16,2,FALSE)</f>
        <v>#N/A</v>
      </c>
    </row>
    <row r="247" spans="11:26" x14ac:dyDescent="0.2">
      <c r="K247" s="167"/>
      <c r="L247" s="77"/>
      <c r="M247" s="169"/>
      <c r="N247" s="169"/>
      <c r="P247" s="7"/>
      <c r="Q247" s="94"/>
      <c r="R247" s="95"/>
      <c r="S247" s="95"/>
      <c r="T247" s="7"/>
      <c r="U247" s="7"/>
      <c r="V247" s="7"/>
      <c r="W247" s="7"/>
      <c r="X247" s="7"/>
      <c r="Z247" s="8" t="e">
        <f>VLOOKUP(M247,Personalização!$I$7:$J$16,2,FALSE)</f>
        <v>#N/A</v>
      </c>
    </row>
    <row r="248" spans="11:26" x14ac:dyDescent="0.2">
      <c r="K248" s="167"/>
      <c r="L248" s="77"/>
      <c r="M248" s="169"/>
      <c r="N248" s="169"/>
      <c r="P248" s="7"/>
      <c r="Q248" s="94"/>
      <c r="R248" s="95"/>
      <c r="S248" s="95"/>
      <c r="T248" s="7"/>
      <c r="U248" s="7"/>
      <c r="V248" s="7"/>
      <c r="W248" s="7"/>
      <c r="X248" s="7"/>
      <c r="Z248" s="8" t="e">
        <f>VLOOKUP(M248,Personalização!$I$7:$J$16,2,FALSE)</f>
        <v>#N/A</v>
      </c>
    </row>
    <row r="249" spans="11:26" x14ac:dyDescent="0.2">
      <c r="K249" s="167"/>
      <c r="L249" s="77"/>
      <c r="M249" s="169"/>
      <c r="N249" s="169"/>
      <c r="P249" s="7"/>
      <c r="Q249" s="94"/>
      <c r="R249" s="95"/>
      <c r="S249" s="95"/>
      <c r="T249" s="7"/>
      <c r="U249" s="7"/>
      <c r="V249" s="7"/>
      <c r="W249" s="7"/>
      <c r="X249" s="7"/>
      <c r="Z249" s="8" t="e">
        <f>VLOOKUP(M249,Personalização!$I$7:$J$16,2,FALSE)</f>
        <v>#N/A</v>
      </c>
    </row>
    <row r="250" spans="11:26" x14ac:dyDescent="0.2">
      <c r="K250" s="167"/>
      <c r="L250" s="77"/>
      <c r="M250" s="169"/>
      <c r="N250" s="169"/>
      <c r="P250" s="7"/>
      <c r="Q250" s="94"/>
      <c r="R250" s="95"/>
      <c r="S250" s="95"/>
      <c r="T250" s="7"/>
      <c r="U250" s="7"/>
      <c r="V250" s="7"/>
      <c r="W250" s="7"/>
      <c r="X250" s="7"/>
      <c r="Z250" s="8" t="e">
        <f>VLOOKUP(M250,Personalização!$I$7:$J$16,2,FALSE)</f>
        <v>#N/A</v>
      </c>
    </row>
    <row r="251" spans="11:26" x14ac:dyDescent="0.2">
      <c r="K251" s="167"/>
      <c r="L251" s="77"/>
      <c r="M251" s="169"/>
      <c r="N251" s="169"/>
      <c r="P251" s="7"/>
      <c r="Q251" s="94"/>
      <c r="R251" s="95"/>
      <c r="S251" s="95"/>
      <c r="T251" s="7"/>
      <c r="U251" s="7"/>
      <c r="V251" s="7"/>
      <c r="W251" s="7"/>
      <c r="X251" s="7"/>
      <c r="Z251" s="8" t="e">
        <f>VLOOKUP(M251,Personalização!$I$7:$J$16,2,FALSE)</f>
        <v>#N/A</v>
      </c>
    </row>
    <row r="252" spans="11:26" x14ac:dyDescent="0.2">
      <c r="K252" s="167"/>
      <c r="L252" s="77"/>
      <c r="M252" s="169"/>
      <c r="N252" s="169"/>
      <c r="P252" s="7"/>
      <c r="Q252" s="94"/>
      <c r="R252" s="95"/>
      <c r="S252" s="95"/>
      <c r="T252" s="7"/>
      <c r="U252" s="7"/>
      <c r="V252" s="7"/>
      <c r="W252" s="7"/>
      <c r="X252" s="7"/>
      <c r="Z252" s="8" t="e">
        <f>VLOOKUP(M252,Personalização!$I$7:$J$16,2,FALSE)</f>
        <v>#N/A</v>
      </c>
    </row>
    <row r="253" spans="11:26" x14ac:dyDescent="0.2">
      <c r="K253" s="167"/>
      <c r="L253" s="77"/>
      <c r="M253" s="169"/>
      <c r="N253" s="169"/>
      <c r="P253" s="7"/>
      <c r="Q253" s="94"/>
      <c r="R253" s="95"/>
      <c r="S253" s="95"/>
      <c r="T253" s="7"/>
      <c r="U253" s="7"/>
      <c r="V253" s="7"/>
      <c r="W253" s="7"/>
      <c r="X253" s="7"/>
      <c r="Z253" s="8" t="e">
        <f>VLOOKUP(M253,Personalização!$I$7:$J$16,2,FALSE)</f>
        <v>#N/A</v>
      </c>
    </row>
    <row r="254" spans="11:26" x14ac:dyDescent="0.2">
      <c r="K254" s="167"/>
      <c r="L254" s="77"/>
      <c r="M254" s="169"/>
      <c r="N254" s="169"/>
      <c r="P254" s="7"/>
      <c r="Q254" s="94"/>
      <c r="R254" s="95"/>
      <c r="S254" s="95"/>
      <c r="T254" s="7"/>
      <c r="U254" s="7"/>
      <c r="V254" s="7"/>
      <c r="W254" s="7"/>
      <c r="X254" s="7"/>
      <c r="Z254" s="8" t="e">
        <f>VLOOKUP(M254,Personalização!$I$7:$J$16,2,FALSE)</f>
        <v>#N/A</v>
      </c>
    </row>
    <row r="255" spans="11:26" x14ac:dyDescent="0.2">
      <c r="K255" s="167"/>
      <c r="L255" s="77"/>
      <c r="M255" s="169"/>
      <c r="N255" s="169"/>
      <c r="P255" s="7"/>
      <c r="Q255" s="94"/>
      <c r="R255" s="95"/>
      <c r="S255" s="95"/>
      <c r="T255" s="7"/>
      <c r="U255" s="7"/>
      <c r="V255" s="7"/>
      <c r="W255" s="7"/>
      <c r="X255" s="7"/>
      <c r="Z255" s="8" t="e">
        <f>VLOOKUP(M255,Personalização!$I$7:$J$16,2,FALSE)</f>
        <v>#N/A</v>
      </c>
    </row>
    <row r="256" spans="11:26" x14ac:dyDescent="0.2">
      <c r="K256" s="167"/>
      <c r="L256" s="77"/>
      <c r="M256" s="169"/>
      <c r="N256" s="169"/>
      <c r="P256" s="7"/>
      <c r="Q256" s="94"/>
      <c r="R256" s="95"/>
      <c r="S256" s="95"/>
      <c r="T256" s="7"/>
      <c r="U256" s="7"/>
      <c r="V256" s="7"/>
      <c r="W256" s="7"/>
      <c r="X256" s="7"/>
      <c r="Z256" s="8" t="e">
        <f>VLOOKUP(M256,Personalização!$I$7:$J$16,2,FALSE)</f>
        <v>#N/A</v>
      </c>
    </row>
    <row r="257" spans="11:26" x14ac:dyDescent="0.2">
      <c r="K257" s="167"/>
      <c r="L257" s="77"/>
      <c r="M257" s="169"/>
      <c r="N257" s="169"/>
      <c r="P257" s="7"/>
      <c r="Q257" s="94"/>
      <c r="R257" s="95"/>
      <c r="S257" s="95"/>
      <c r="T257" s="7"/>
      <c r="U257" s="7"/>
      <c r="V257" s="7"/>
      <c r="W257" s="7"/>
      <c r="X257" s="7"/>
      <c r="Z257" s="8" t="e">
        <f>VLOOKUP(M257,Personalização!$I$7:$J$16,2,FALSE)</f>
        <v>#N/A</v>
      </c>
    </row>
    <row r="258" spans="11:26" x14ac:dyDescent="0.2">
      <c r="K258" s="167"/>
      <c r="L258" s="77"/>
      <c r="M258" s="169"/>
      <c r="N258" s="169"/>
      <c r="P258" s="7"/>
      <c r="Q258" s="94"/>
      <c r="R258" s="95"/>
      <c r="S258" s="95"/>
      <c r="T258" s="7"/>
      <c r="U258" s="7"/>
      <c r="V258" s="7"/>
      <c r="W258" s="7"/>
      <c r="X258" s="7"/>
      <c r="Z258" s="8" t="e">
        <f>VLOOKUP(M258,Personalização!$I$7:$J$16,2,FALSE)</f>
        <v>#N/A</v>
      </c>
    </row>
    <row r="259" spans="11:26" x14ac:dyDescent="0.2">
      <c r="K259" s="167"/>
      <c r="L259" s="77"/>
      <c r="M259" s="169"/>
      <c r="N259" s="169"/>
      <c r="P259" s="7"/>
      <c r="Q259" s="94"/>
      <c r="R259" s="95"/>
      <c r="S259" s="95"/>
      <c r="T259" s="7"/>
      <c r="U259" s="7"/>
      <c r="V259" s="7"/>
      <c r="W259" s="7"/>
      <c r="X259" s="7"/>
      <c r="Z259" s="8" t="e">
        <f>VLOOKUP(M259,Personalização!$I$7:$J$16,2,FALSE)</f>
        <v>#N/A</v>
      </c>
    </row>
    <row r="260" spans="11:26" x14ac:dyDescent="0.2">
      <c r="K260" s="167"/>
      <c r="L260" s="77"/>
      <c r="M260" s="169"/>
      <c r="N260" s="169"/>
      <c r="P260" s="7"/>
      <c r="Q260" s="94"/>
      <c r="R260" s="95"/>
      <c r="S260" s="95"/>
      <c r="T260" s="7"/>
      <c r="U260" s="7"/>
      <c r="V260" s="7"/>
      <c r="W260" s="7"/>
      <c r="X260" s="7"/>
      <c r="Z260" s="8" t="e">
        <f>VLOOKUP(M260,Personalização!$I$7:$J$16,2,FALSE)</f>
        <v>#N/A</v>
      </c>
    </row>
    <row r="261" spans="11:26" x14ac:dyDescent="0.2">
      <c r="K261" s="167"/>
      <c r="L261" s="77"/>
      <c r="M261" s="169"/>
      <c r="N261" s="169"/>
      <c r="P261" s="7"/>
      <c r="Q261" s="94"/>
      <c r="R261" s="95"/>
      <c r="S261" s="95"/>
      <c r="T261" s="7"/>
      <c r="U261" s="7"/>
      <c r="V261" s="7"/>
      <c r="W261" s="7"/>
      <c r="X261" s="7"/>
      <c r="Z261" s="8" t="e">
        <f>VLOOKUP(M261,Personalização!$I$7:$J$16,2,FALSE)</f>
        <v>#N/A</v>
      </c>
    </row>
    <row r="262" spans="11:26" x14ac:dyDescent="0.2">
      <c r="K262" s="167"/>
      <c r="L262" s="77"/>
      <c r="M262" s="169"/>
      <c r="N262" s="169"/>
      <c r="P262" s="7"/>
      <c r="Q262" s="94"/>
      <c r="R262" s="95"/>
      <c r="S262" s="95"/>
      <c r="T262" s="7"/>
      <c r="U262" s="7"/>
      <c r="V262" s="7"/>
      <c r="W262" s="7"/>
      <c r="X262" s="7"/>
      <c r="Z262" s="8" t="e">
        <f>VLOOKUP(M262,Personalização!$I$7:$J$16,2,FALSE)</f>
        <v>#N/A</v>
      </c>
    </row>
    <row r="263" spans="11:26" x14ac:dyDescent="0.2">
      <c r="K263" s="167"/>
      <c r="L263" s="77"/>
      <c r="M263" s="169"/>
      <c r="N263" s="169"/>
      <c r="P263" s="7"/>
      <c r="Q263" s="94"/>
      <c r="R263" s="95"/>
      <c r="S263" s="95"/>
      <c r="T263" s="7"/>
      <c r="U263" s="7"/>
      <c r="V263" s="7"/>
      <c r="W263" s="7"/>
      <c r="X263" s="7"/>
      <c r="Z263" s="8" t="e">
        <f>VLOOKUP(M263,Personalização!$I$7:$J$16,2,FALSE)</f>
        <v>#N/A</v>
      </c>
    </row>
    <row r="264" spans="11:26" x14ac:dyDescent="0.2">
      <c r="K264" s="167"/>
      <c r="L264" s="77"/>
      <c r="M264" s="169"/>
      <c r="N264" s="169"/>
      <c r="P264" s="7"/>
      <c r="Q264" s="94"/>
      <c r="R264" s="95"/>
      <c r="S264" s="95"/>
      <c r="T264" s="7"/>
      <c r="U264" s="7"/>
      <c r="V264" s="7"/>
      <c r="W264" s="7"/>
      <c r="X264" s="7"/>
      <c r="Z264" s="8" t="e">
        <f>VLOOKUP(M264,Personalização!$I$7:$J$16,2,FALSE)</f>
        <v>#N/A</v>
      </c>
    </row>
    <row r="265" spans="11:26" x14ac:dyDescent="0.2">
      <c r="K265" s="167"/>
      <c r="L265" s="77"/>
      <c r="M265" s="169"/>
      <c r="N265" s="169"/>
      <c r="P265" s="7"/>
      <c r="Q265" s="94"/>
      <c r="R265" s="95"/>
      <c r="S265" s="95"/>
      <c r="T265" s="7"/>
      <c r="U265" s="7"/>
      <c r="V265" s="7"/>
      <c r="W265" s="7"/>
      <c r="X265" s="7"/>
      <c r="Z265" s="8" t="e">
        <f>VLOOKUP(M265,Personalização!$I$7:$J$16,2,FALSE)</f>
        <v>#N/A</v>
      </c>
    </row>
    <row r="266" spans="11:26" x14ac:dyDescent="0.2">
      <c r="K266" s="167"/>
      <c r="L266" s="77"/>
      <c r="M266" s="169"/>
      <c r="N266" s="169"/>
      <c r="P266" s="7"/>
      <c r="Q266" s="94"/>
      <c r="R266" s="95"/>
      <c r="S266" s="95"/>
      <c r="T266" s="7"/>
      <c r="U266" s="7"/>
      <c r="V266" s="7"/>
      <c r="W266" s="7"/>
      <c r="X266" s="7"/>
      <c r="Z266" s="8" t="e">
        <f>VLOOKUP(M266,Personalização!$I$7:$J$16,2,FALSE)</f>
        <v>#N/A</v>
      </c>
    </row>
    <row r="267" spans="11:26" x14ac:dyDescent="0.2">
      <c r="K267" s="167"/>
      <c r="L267" s="77"/>
      <c r="M267" s="169"/>
      <c r="N267" s="169"/>
      <c r="P267" s="7"/>
      <c r="Q267" s="94"/>
      <c r="R267" s="95"/>
      <c r="S267" s="95"/>
      <c r="T267" s="7"/>
      <c r="U267" s="7"/>
      <c r="V267" s="7"/>
      <c r="W267" s="7"/>
      <c r="X267" s="7"/>
      <c r="Z267" s="8" t="e">
        <f>VLOOKUP(M267,Personalização!$I$7:$J$16,2,FALSE)</f>
        <v>#N/A</v>
      </c>
    </row>
    <row r="268" spans="11:26" x14ac:dyDescent="0.2">
      <c r="K268" s="167"/>
      <c r="L268" s="77"/>
      <c r="M268" s="169"/>
      <c r="N268" s="169"/>
      <c r="P268" s="7"/>
      <c r="Q268" s="94"/>
      <c r="R268" s="95"/>
      <c r="S268" s="95"/>
      <c r="T268" s="7"/>
      <c r="U268" s="7"/>
      <c r="V268" s="7"/>
      <c r="W268" s="7"/>
      <c r="X268" s="7"/>
      <c r="Z268" s="8" t="e">
        <f>VLOOKUP(M268,Personalização!$I$7:$J$16,2,FALSE)</f>
        <v>#N/A</v>
      </c>
    </row>
    <row r="269" spans="11:26" x14ac:dyDescent="0.2">
      <c r="K269" s="167"/>
      <c r="L269" s="77"/>
      <c r="M269" s="169"/>
      <c r="N269" s="169"/>
      <c r="P269" s="7"/>
      <c r="Q269" s="94"/>
      <c r="R269" s="95"/>
      <c r="S269" s="95"/>
      <c r="T269" s="7"/>
      <c r="U269" s="7"/>
      <c r="V269" s="7"/>
      <c r="W269" s="7"/>
      <c r="X269" s="7"/>
      <c r="Z269" s="8" t="e">
        <f>VLOOKUP(M269,Personalização!$I$7:$J$16,2,FALSE)</f>
        <v>#N/A</v>
      </c>
    </row>
    <row r="270" spans="11:26" x14ac:dyDescent="0.2">
      <c r="K270" s="167"/>
      <c r="L270" s="77"/>
      <c r="M270" s="169"/>
      <c r="N270" s="169"/>
      <c r="P270" s="7"/>
      <c r="Q270" s="94"/>
      <c r="R270" s="95"/>
      <c r="S270" s="95"/>
      <c r="T270" s="7"/>
      <c r="U270" s="7"/>
      <c r="V270" s="7"/>
      <c r="W270" s="7"/>
      <c r="X270" s="7"/>
      <c r="Z270" s="8" t="e">
        <f>VLOOKUP(M270,Personalização!$I$7:$J$16,2,FALSE)</f>
        <v>#N/A</v>
      </c>
    </row>
    <row r="271" spans="11:26" x14ac:dyDescent="0.2">
      <c r="K271" s="167"/>
      <c r="L271" s="77"/>
      <c r="M271" s="169"/>
      <c r="N271" s="169"/>
      <c r="P271" s="7"/>
      <c r="Q271" s="94"/>
      <c r="R271" s="95"/>
      <c r="S271" s="95"/>
      <c r="T271" s="7"/>
      <c r="U271" s="7"/>
      <c r="V271" s="7"/>
      <c r="W271" s="7"/>
      <c r="X271" s="7"/>
      <c r="Z271" s="8" t="e">
        <f>VLOOKUP(M271,Personalização!$I$7:$J$16,2,FALSE)</f>
        <v>#N/A</v>
      </c>
    </row>
    <row r="272" spans="11:26" x14ac:dyDescent="0.2">
      <c r="K272" s="167"/>
      <c r="L272" s="77"/>
      <c r="M272" s="169"/>
      <c r="N272" s="169"/>
      <c r="P272" s="7"/>
      <c r="Q272" s="94"/>
      <c r="R272" s="95"/>
      <c r="S272" s="95"/>
      <c r="T272" s="7"/>
      <c r="U272" s="7"/>
      <c r="V272" s="7"/>
      <c r="W272" s="7"/>
      <c r="X272" s="7"/>
      <c r="Z272" s="8" t="e">
        <f>VLOOKUP(M272,Personalização!$I$7:$J$16,2,FALSE)</f>
        <v>#N/A</v>
      </c>
    </row>
    <row r="273" spans="11:26" x14ac:dyDescent="0.2">
      <c r="K273" s="167"/>
      <c r="L273" s="77"/>
      <c r="M273" s="169"/>
      <c r="N273" s="169"/>
      <c r="P273" s="7"/>
      <c r="Q273" s="94"/>
      <c r="R273" s="95"/>
      <c r="S273" s="95"/>
      <c r="T273" s="7"/>
      <c r="U273" s="7"/>
      <c r="V273" s="7"/>
      <c r="W273" s="7"/>
      <c r="X273" s="7"/>
      <c r="Z273" s="8" t="e">
        <f>VLOOKUP(M273,Personalização!$I$7:$J$16,2,FALSE)</f>
        <v>#N/A</v>
      </c>
    </row>
    <row r="274" spans="11:26" x14ac:dyDescent="0.2">
      <c r="K274" s="167"/>
      <c r="L274" s="77"/>
      <c r="M274" s="169"/>
      <c r="N274" s="169"/>
      <c r="P274" s="7"/>
      <c r="Q274" s="94"/>
      <c r="R274" s="95"/>
      <c r="S274" s="95"/>
      <c r="T274" s="7"/>
      <c r="U274" s="7"/>
      <c r="V274" s="7"/>
      <c r="W274" s="7"/>
      <c r="X274" s="7"/>
      <c r="Z274" s="8" t="e">
        <f>VLOOKUP(M274,Personalização!$I$7:$J$16,2,FALSE)</f>
        <v>#N/A</v>
      </c>
    </row>
    <row r="275" spans="11:26" x14ac:dyDescent="0.2">
      <c r="K275" s="167"/>
      <c r="L275" s="77"/>
      <c r="M275" s="169"/>
      <c r="N275" s="169"/>
      <c r="P275" s="7"/>
      <c r="Q275" s="94"/>
      <c r="R275" s="95"/>
      <c r="S275" s="95"/>
      <c r="T275" s="7"/>
      <c r="U275" s="7"/>
      <c r="V275" s="7"/>
      <c r="W275" s="7"/>
      <c r="X275" s="7"/>
      <c r="Z275" s="8" t="e">
        <f>VLOOKUP(M275,Personalização!$I$7:$J$16,2,FALSE)</f>
        <v>#N/A</v>
      </c>
    </row>
    <row r="276" spans="11:26" x14ac:dyDescent="0.2">
      <c r="K276" s="167"/>
      <c r="L276" s="77"/>
      <c r="M276" s="169"/>
      <c r="N276" s="169"/>
      <c r="P276" s="7"/>
      <c r="Q276" s="94"/>
      <c r="R276" s="95"/>
      <c r="S276" s="95"/>
      <c r="T276" s="7"/>
      <c r="U276" s="7"/>
      <c r="V276" s="7"/>
      <c r="W276" s="7"/>
      <c r="X276" s="7"/>
      <c r="Z276" s="8" t="e">
        <f>VLOOKUP(M276,Personalização!$I$7:$J$16,2,FALSE)</f>
        <v>#N/A</v>
      </c>
    </row>
    <row r="277" spans="11:26" x14ac:dyDescent="0.2">
      <c r="K277" s="167"/>
      <c r="L277" s="77"/>
      <c r="M277" s="169"/>
      <c r="N277" s="169"/>
      <c r="P277" s="7"/>
      <c r="Q277" s="94"/>
      <c r="R277" s="95"/>
      <c r="S277" s="95"/>
      <c r="T277" s="7"/>
      <c r="U277" s="7"/>
      <c r="V277" s="7"/>
      <c r="W277" s="7"/>
      <c r="X277" s="7"/>
      <c r="Z277" s="8" t="e">
        <f>VLOOKUP(M277,Personalização!$I$7:$J$16,2,FALSE)</f>
        <v>#N/A</v>
      </c>
    </row>
    <row r="278" spans="11:26" x14ac:dyDescent="0.2">
      <c r="K278" s="167"/>
      <c r="L278" s="77"/>
      <c r="M278" s="169"/>
      <c r="N278" s="169"/>
      <c r="P278" s="7"/>
      <c r="Q278" s="94"/>
      <c r="R278" s="95"/>
      <c r="S278" s="95"/>
      <c r="T278" s="7"/>
      <c r="U278" s="7"/>
      <c r="V278" s="7"/>
      <c r="W278" s="7"/>
      <c r="X278" s="7"/>
      <c r="Z278" s="8" t="e">
        <f>VLOOKUP(M278,Personalização!$I$7:$J$16,2,FALSE)</f>
        <v>#N/A</v>
      </c>
    </row>
    <row r="279" spans="11:26" x14ac:dyDescent="0.2">
      <c r="K279" s="167"/>
      <c r="L279" s="77"/>
      <c r="M279" s="169"/>
      <c r="N279" s="169"/>
      <c r="P279" s="7"/>
      <c r="Q279" s="94"/>
      <c r="R279" s="95"/>
      <c r="S279" s="95"/>
      <c r="T279" s="7"/>
      <c r="U279" s="7"/>
      <c r="V279" s="7"/>
      <c r="W279" s="7"/>
      <c r="X279" s="7"/>
      <c r="Z279" s="8" t="e">
        <f>VLOOKUP(M279,Personalização!$I$7:$J$16,2,FALSE)</f>
        <v>#N/A</v>
      </c>
    </row>
    <row r="280" spans="11:26" x14ac:dyDescent="0.2">
      <c r="K280" s="167"/>
      <c r="L280" s="77"/>
      <c r="M280" s="169"/>
      <c r="N280" s="169"/>
      <c r="P280" s="7"/>
      <c r="Q280" s="94"/>
      <c r="R280" s="95"/>
      <c r="S280" s="95"/>
      <c r="T280" s="7"/>
      <c r="U280" s="7"/>
      <c r="V280" s="7"/>
      <c r="W280" s="7"/>
      <c r="X280" s="7"/>
      <c r="Z280" s="8" t="e">
        <f>VLOOKUP(M280,Personalização!$I$7:$J$16,2,FALSE)</f>
        <v>#N/A</v>
      </c>
    </row>
    <row r="281" spans="11:26" x14ac:dyDescent="0.2">
      <c r="K281" s="167"/>
      <c r="L281" s="77"/>
      <c r="M281" s="169"/>
      <c r="N281" s="169"/>
      <c r="P281" s="7"/>
      <c r="Q281" s="94"/>
      <c r="R281" s="95"/>
      <c r="S281" s="95"/>
      <c r="T281" s="7"/>
      <c r="U281" s="7"/>
      <c r="V281" s="7"/>
      <c r="W281" s="7"/>
      <c r="X281" s="7"/>
      <c r="Z281" s="8" t="e">
        <f>VLOOKUP(M281,Personalização!$I$7:$J$16,2,FALSE)</f>
        <v>#N/A</v>
      </c>
    </row>
    <row r="282" spans="11:26" x14ac:dyDescent="0.2">
      <c r="K282" s="167"/>
      <c r="L282" s="77"/>
      <c r="M282" s="169"/>
      <c r="N282" s="169"/>
      <c r="P282" s="7"/>
      <c r="Q282" s="94"/>
      <c r="R282" s="95"/>
      <c r="S282" s="95"/>
      <c r="T282" s="7"/>
      <c r="U282" s="7"/>
      <c r="V282" s="7"/>
      <c r="W282" s="7"/>
      <c r="X282" s="7"/>
      <c r="Z282" s="8" t="e">
        <f>VLOOKUP(M282,Personalização!$I$7:$J$16,2,FALSE)</f>
        <v>#N/A</v>
      </c>
    </row>
    <row r="283" spans="11:26" x14ac:dyDescent="0.2">
      <c r="K283" s="167"/>
      <c r="L283" s="77"/>
      <c r="M283" s="169"/>
      <c r="N283" s="169"/>
      <c r="P283" s="7"/>
      <c r="Q283" s="94"/>
      <c r="R283" s="95"/>
      <c r="S283" s="95"/>
      <c r="T283" s="7"/>
      <c r="U283" s="7"/>
      <c r="V283" s="7"/>
      <c r="W283" s="7"/>
      <c r="X283" s="7"/>
      <c r="Z283" s="8" t="e">
        <f>VLOOKUP(M283,Personalização!$I$7:$J$16,2,FALSE)</f>
        <v>#N/A</v>
      </c>
    </row>
    <row r="284" spans="11:26" x14ac:dyDescent="0.2">
      <c r="K284" s="167"/>
      <c r="L284" s="77"/>
      <c r="M284" s="169"/>
      <c r="N284" s="169"/>
      <c r="P284" s="7"/>
      <c r="Q284" s="94"/>
      <c r="R284" s="95"/>
      <c r="S284" s="95"/>
      <c r="T284" s="7"/>
      <c r="U284" s="7"/>
      <c r="V284" s="7"/>
      <c r="W284" s="7"/>
      <c r="X284" s="7"/>
      <c r="Z284" s="8" t="e">
        <f>VLOOKUP(M284,Personalização!$I$7:$J$16,2,FALSE)</f>
        <v>#N/A</v>
      </c>
    </row>
    <row r="285" spans="11:26" x14ac:dyDescent="0.2">
      <c r="K285" s="167"/>
      <c r="L285" s="77"/>
      <c r="M285" s="169"/>
      <c r="N285" s="169"/>
      <c r="P285" s="7"/>
      <c r="Q285" s="94"/>
      <c r="R285" s="95"/>
      <c r="S285" s="95"/>
      <c r="T285" s="7"/>
      <c r="U285" s="7"/>
      <c r="V285" s="7"/>
      <c r="W285" s="7"/>
      <c r="X285" s="7"/>
      <c r="Z285" s="8" t="e">
        <f>VLOOKUP(M285,Personalização!$I$7:$J$16,2,FALSE)</f>
        <v>#N/A</v>
      </c>
    </row>
    <row r="286" spans="11:26" x14ac:dyDescent="0.2">
      <c r="K286" s="167"/>
      <c r="L286" s="77"/>
      <c r="M286" s="169"/>
      <c r="N286" s="169"/>
      <c r="P286" s="7"/>
      <c r="Q286" s="94"/>
      <c r="R286" s="95"/>
      <c r="S286" s="95"/>
      <c r="T286" s="7"/>
      <c r="U286" s="7"/>
      <c r="V286" s="7"/>
      <c r="W286" s="7"/>
      <c r="X286" s="7"/>
      <c r="Z286" s="8" t="e">
        <f>VLOOKUP(M286,Personalização!$I$7:$J$16,2,FALSE)</f>
        <v>#N/A</v>
      </c>
    </row>
    <row r="287" spans="11:26" x14ac:dyDescent="0.2">
      <c r="K287" s="167"/>
      <c r="L287" s="77"/>
      <c r="M287" s="169"/>
      <c r="N287" s="169"/>
      <c r="P287" s="7"/>
      <c r="Q287" s="94"/>
      <c r="R287" s="95"/>
      <c r="S287" s="95"/>
      <c r="T287" s="7"/>
      <c r="U287" s="7"/>
      <c r="V287" s="7"/>
      <c r="W287" s="7"/>
      <c r="X287" s="7"/>
      <c r="Z287" s="8" t="e">
        <f>VLOOKUP(M287,Personalização!$I$7:$J$16,2,FALSE)</f>
        <v>#N/A</v>
      </c>
    </row>
    <row r="288" spans="11:26" x14ac:dyDescent="0.2">
      <c r="K288" s="167"/>
      <c r="L288" s="77"/>
      <c r="M288" s="169"/>
      <c r="N288" s="169"/>
      <c r="P288" s="7"/>
      <c r="Q288" s="94"/>
      <c r="R288" s="95"/>
      <c r="S288" s="95"/>
      <c r="T288" s="7"/>
      <c r="U288" s="7"/>
      <c r="V288" s="7"/>
      <c r="W288" s="7"/>
      <c r="X288" s="7"/>
      <c r="Z288" s="8" t="e">
        <f>VLOOKUP(M288,Personalização!$I$7:$J$16,2,FALSE)</f>
        <v>#N/A</v>
      </c>
    </row>
    <row r="289" spans="11:26" x14ac:dyDescent="0.2">
      <c r="K289" s="167"/>
      <c r="L289" s="77"/>
      <c r="M289" s="169"/>
      <c r="N289" s="169"/>
      <c r="P289" s="7"/>
      <c r="Q289" s="94"/>
      <c r="R289" s="95"/>
      <c r="S289" s="95"/>
      <c r="T289" s="7"/>
      <c r="U289" s="7"/>
      <c r="V289" s="7"/>
      <c r="W289" s="7"/>
      <c r="X289" s="7"/>
      <c r="Z289" s="8" t="e">
        <f>VLOOKUP(M289,Personalização!$I$7:$J$16,2,FALSE)</f>
        <v>#N/A</v>
      </c>
    </row>
    <row r="290" spans="11:26" x14ac:dyDescent="0.2">
      <c r="K290" s="167"/>
      <c r="L290" s="77"/>
      <c r="M290" s="169"/>
      <c r="N290" s="169"/>
      <c r="P290" s="7"/>
      <c r="Q290" s="94"/>
      <c r="R290" s="95"/>
      <c r="S290" s="95"/>
      <c r="T290" s="7"/>
      <c r="U290" s="7"/>
      <c r="V290" s="7"/>
      <c r="W290" s="7"/>
      <c r="X290" s="7"/>
      <c r="Z290" s="8" t="e">
        <f>VLOOKUP(M290,Personalização!$I$7:$J$16,2,FALSE)</f>
        <v>#N/A</v>
      </c>
    </row>
    <row r="291" spans="11:26" x14ac:dyDescent="0.2">
      <c r="K291" s="167"/>
      <c r="L291" s="77"/>
      <c r="M291" s="169"/>
      <c r="N291" s="169"/>
      <c r="P291" s="7"/>
      <c r="Q291" s="94"/>
      <c r="R291" s="95"/>
      <c r="S291" s="95"/>
      <c r="T291" s="7"/>
      <c r="U291" s="7"/>
      <c r="V291" s="7"/>
      <c r="W291" s="7"/>
      <c r="X291" s="7"/>
      <c r="Z291" s="8" t="e">
        <f>VLOOKUP(M291,Personalização!$I$7:$J$16,2,FALSE)</f>
        <v>#N/A</v>
      </c>
    </row>
    <row r="292" spans="11:26" x14ac:dyDescent="0.2">
      <c r="K292" s="167"/>
      <c r="L292" s="77"/>
      <c r="M292" s="169"/>
      <c r="N292" s="169"/>
      <c r="P292" s="7"/>
      <c r="Q292" s="94"/>
      <c r="R292" s="95"/>
      <c r="S292" s="95"/>
      <c r="T292" s="7"/>
      <c r="U292" s="7"/>
      <c r="V292" s="7"/>
      <c r="W292" s="7"/>
      <c r="X292" s="7"/>
      <c r="Z292" s="8" t="e">
        <f>VLOOKUP(M292,Personalização!$I$7:$J$16,2,FALSE)</f>
        <v>#N/A</v>
      </c>
    </row>
    <row r="293" spans="11:26" x14ac:dyDescent="0.2">
      <c r="K293" s="167"/>
      <c r="L293" s="77"/>
      <c r="M293" s="169"/>
      <c r="N293" s="169"/>
      <c r="P293" s="7"/>
      <c r="Q293" s="94"/>
      <c r="R293" s="95"/>
      <c r="S293" s="95"/>
      <c r="T293" s="7"/>
      <c r="U293" s="7"/>
      <c r="V293" s="7"/>
      <c r="W293" s="7"/>
      <c r="X293" s="7"/>
      <c r="Z293" s="8" t="e">
        <f>VLOOKUP(M293,Personalização!$I$7:$J$16,2,FALSE)</f>
        <v>#N/A</v>
      </c>
    </row>
    <row r="294" spans="11:26" x14ac:dyDescent="0.2">
      <c r="K294" s="167"/>
      <c r="L294" s="77"/>
      <c r="M294" s="169"/>
      <c r="N294" s="169"/>
      <c r="P294" s="7"/>
      <c r="Q294" s="94"/>
      <c r="R294" s="95"/>
      <c r="S294" s="95"/>
      <c r="T294" s="7"/>
      <c r="U294" s="7"/>
      <c r="V294" s="7"/>
      <c r="W294" s="7"/>
      <c r="X294" s="7"/>
      <c r="Z294" s="8" t="e">
        <f>VLOOKUP(M294,Personalização!$I$7:$J$16,2,FALSE)</f>
        <v>#N/A</v>
      </c>
    </row>
    <row r="295" spans="11:26" x14ac:dyDescent="0.2">
      <c r="K295" s="167"/>
      <c r="L295" s="77"/>
      <c r="M295" s="169"/>
      <c r="N295" s="169"/>
      <c r="P295" s="7"/>
      <c r="Q295" s="94"/>
      <c r="R295" s="95"/>
      <c r="S295" s="95"/>
      <c r="T295" s="7"/>
      <c r="U295" s="7"/>
      <c r="V295" s="7"/>
      <c r="W295" s="7"/>
      <c r="X295" s="7"/>
      <c r="Z295" s="8" t="e">
        <f>VLOOKUP(M295,Personalização!$I$7:$J$16,2,FALSE)</f>
        <v>#N/A</v>
      </c>
    </row>
    <row r="296" spans="11:26" x14ac:dyDescent="0.2">
      <c r="K296" s="167"/>
      <c r="L296" s="77"/>
      <c r="M296" s="169"/>
      <c r="N296" s="169"/>
      <c r="P296" s="7"/>
      <c r="Q296" s="94"/>
      <c r="R296" s="95"/>
      <c r="S296" s="95"/>
      <c r="T296" s="7"/>
      <c r="U296" s="7"/>
      <c r="V296" s="7"/>
      <c r="W296" s="7"/>
      <c r="X296" s="7"/>
      <c r="Z296" s="8" t="e">
        <f>VLOOKUP(M296,Personalização!$I$7:$J$16,2,FALSE)</f>
        <v>#N/A</v>
      </c>
    </row>
    <row r="297" spans="11:26" x14ac:dyDescent="0.2">
      <c r="K297" s="167"/>
      <c r="L297" s="77"/>
      <c r="M297" s="169"/>
      <c r="N297" s="169"/>
      <c r="P297" s="7"/>
      <c r="Q297" s="94"/>
      <c r="R297" s="95"/>
      <c r="S297" s="95"/>
      <c r="T297" s="7"/>
      <c r="U297" s="7"/>
      <c r="V297" s="7"/>
      <c r="W297" s="7"/>
      <c r="X297" s="7"/>
      <c r="Z297" s="8" t="e">
        <f>VLOOKUP(M297,Personalização!$I$7:$J$16,2,FALSE)</f>
        <v>#N/A</v>
      </c>
    </row>
    <row r="298" spans="11:26" x14ac:dyDescent="0.2">
      <c r="K298" s="167"/>
      <c r="L298" s="77"/>
      <c r="M298" s="169"/>
      <c r="N298" s="169"/>
      <c r="P298" s="7"/>
      <c r="Q298" s="94"/>
      <c r="R298" s="95"/>
      <c r="S298" s="95"/>
      <c r="T298" s="7"/>
      <c r="U298" s="7"/>
      <c r="V298" s="7"/>
      <c r="W298" s="7"/>
      <c r="X298" s="7"/>
      <c r="Z298" s="8" t="e">
        <f>VLOOKUP(M298,Personalização!$I$7:$J$16,2,FALSE)</f>
        <v>#N/A</v>
      </c>
    </row>
    <row r="299" spans="11:26" x14ac:dyDescent="0.2">
      <c r="K299" s="167"/>
      <c r="L299" s="77"/>
      <c r="M299" s="169"/>
      <c r="N299" s="169"/>
      <c r="P299" s="7"/>
      <c r="Q299" s="94"/>
      <c r="R299" s="95"/>
      <c r="S299" s="95"/>
      <c r="T299" s="7"/>
      <c r="U299" s="7"/>
      <c r="V299" s="7"/>
      <c r="W299" s="7"/>
      <c r="X299" s="7"/>
      <c r="Z299" s="8" t="e">
        <f>VLOOKUP(M299,Personalização!$I$7:$J$16,2,FALSE)</f>
        <v>#N/A</v>
      </c>
    </row>
    <row r="300" spans="11:26" x14ac:dyDescent="0.2">
      <c r="K300" s="167"/>
      <c r="L300" s="77"/>
      <c r="M300" s="169"/>
      <c r="N300" s="169"/>
      <c r="P300" s="7"/>
      <c r="Q300" s="94"/>
      <c r="R300" s="95"/>
      <c r="S300" s="95"/>
      <c r="T300" s="7"/>
      <c r="U300" s="7"/>
      <c r="V300" s="7"/>
      <c r="W300" s="7"/>
      <c r="X300" s="7"/>
      <c r="Z300" s="8" t="e">
        <f>VLOOKUP(M300,Personalização!$I$7:$J$16,2,FALSE)</f>
        <v>#N/A</v>
      </c>
    </row>
    <row r="301" spans="11:26" x14ac:dyDescent="0.2">
      <c r="K301" s="167"/>
      <c r="L301" s="77"/>
      <c r="M301" s="169"/>
      <c r="N301" s="169"/>
      <c r="P301" s="7"/>
      <c r="Q301" s="94"/>
      <c r="R301" s="95"/>
      <c r="S301" s="95"/>
      <c r="T301" s="7"/>
      <c r="U301" s="7"/>
      <c r="V301" s="7"/>
      <c r="W301" s="7"/>
      <c r="X301" s="7"/>
      <c r="Z301" s="8" t="e">
        <f>VLOOKUP(M301,Personalização!$I$7:$J$16,2,FALSE)</f>
        <v>#N/A</v>
      </c>
    </row>
    <row r="302" spans="11:26" x14ac:dyDescent="0.2">
      <c r="K302" s="167"/>
      <c r="L302" s="77"/>
      <c r="M302" s="169"/>
      <c r="N302" s="169"/>
      <c r="P302" s="7"/>
      <c r="Q302" s="94"/>
      <c r="R302" s="95"/>
      <c r="S302" s="95"/>
      <c r="T302" s="7"/>
      <c r="U302" s="7"/>
      <c r="V302" s="7"/>
      <c r="W302" s="7"/>
      <c r="X302" s="7"/>
      <c r="Z302" s="8" t="e">
        <f>VLOOKUP(M302,Personalização!$I$7:$J$16,2,FALSE)</f>
        <v>#N/A</v>
      </c>
    </row>
    <row r="303" spans="11:26" x14ac:dyDescent="0.2">
      <c r="K303" s="167"/>
      <c r="L303" s="77"/>
      <c r="M303" s="169"/>
      <c r="N303" s="169"/>
      <c r="P303" s="7"/>
      <c r="Q303" s="94"/>
      <c r="R303" s="95"/>
      <c r="S303" s="95"/>
      <c r="T303" s="7"/>
      <c r="U303" s="7"/>
      <c r="V303" s="7"/>
      <c r="W303" s="7"/>
      <c r="X303" s="7"/>
      <c r="Z303" s="8" t="e">
        <f>VLOOKUP(M303,Personalização!$I$7:$J$16,2,FALSE)</f>
        <v>#N/A</v>
      </c>
    </row>
    <row r="304" spans="11:26" x14ac:dyDescent="0.2">
      <c r="K304" s="167"/>
      <c r="L304" s="77"/>
      <c r="M304" s="169"/>
      <c r="N304" s="169"/>
      <c r="P304" s="7"/>
      <c r="Q304" s="94"/>
      <c r="R304" s="95"/>
      <c r="S304" s="95"/>
      <c r="T304" s="7"/>
      <c r="U304" s="7"/>
      <c r="V304" s="7"/>
      <c r="W304" s="7"/>
      <c r="X304" s="7"/>
      <c r="Z304" s="8" t="e">
        <f>VLOOKUP(M304,Personalização!$I$7:$J$16,2,FALSE)</f>
        <v>#N/A</v>
      </c>
    </row>
    <row r="305" spans="11:26" x14ac:dyDescent="0.2">
      <c r="K305" s="167"/>
      <c r="L305" s="77"/>
      <c r="M305" s="169"/>
      <c r="N305" s="169"/>
      <c r="P305" s="7"/>
      <c r="Q305" s="94"/>
      <c r="R305" s="95"/>
      <c r="S305" s="95"/>
      <c r="T305" s="7"/>
      <c r="U305" s="7"/>
      <c r="V305" s="7"/>
      <c r="W305" s="7"/>
      <c r="X305" s="7"/>
      <c r="Z305" s="8" t="e">
        <f>VLOOKUP(M305,Personalização!$I$7:$J$16,2,FALSE)</f>
        <v>#N/A</v>
      </c>
    </row>
    <row r="306" spans="11:26" x14ac:dyDescent="0.2">
      <c r="K306" s="167"/>
      <c r="L306" s="77"/>
      <c r="M306" s="169"/>
      <c r="N306" s="169"/>
      <c r="P306" s="7"/>
      <c r="Q306" s="94"/>
      <c r="R306" s="95"/>
      <c r="S306" s="95"/>
      <c r="T306" s="7"/>
      <c r="U306" s="7"/>
      <c r="V306" s="7"/>
      <c r="W306" s="7"/>
      <c r="X306" s="7"/>
      <c r="Z306" s="8" t="e">
        <f>VLOOKUP(M306,Personalização!$I$7:$J$16,2,FALSE)</f>
        <v>#N/A</v>
      </c>
    </row>
    <row r="307" spans="11:26" x14ac:dyDescent="0.2">
      <c r="K307" s="167"/>
      <c r="L307" s="77"/>
      <c r="M307" s="169"/>
      <c r="N307" s="169"/>
      <c r="P307" s="7"/>
      <c r="Q307" s="94"/>
      <c r="R307" s="95"/>
      <c r="S307" s="95"/>
      <c r="T307" s="7"/>
      <c r="U307" s="7"/>
      <c r="V307" s="7"/>
      <c r="W307" s="7"/>
      <c r="X307" s="7"/>
      <c r="Z307" s="8" t="e">
        <f>VLOOKUP(M307,Personalização!$I$7:$J$16,2,FALSE)</f>
        <v>#N/A</v>
      </c>
    </row>
    <row r="308" spans="11:26" x14ac:dyDescent="0.2">
      <c r="K308" s="167"/>
      <c r="L308" s="77"/>
      <c r="M308" s="169"/>
      <c r="N308" s="169"/>
      <c r="P308" s="7"/>
      <c r="Q308" s="94"/>
      <c r="R308" s="95"/>
      <c r="S308" s="95"/>
      <c r="T308" s="7"/>
      <c r="U308" s="7"/>
      <c r="V308" s="7"/>
      <c r="W308" s="7"/>
      <c r="X308" s="7"/>
      <c r="Z308" s="8" t="e">
        <f>VLOOKUP(M308,Personalização!$I$7:$J$16,2,FALSE)</f>
        <v>#N/A</v>
      </c>
    </row>
    <row r="309" spans="11:26" x14ac:dyDescent="0.2">
      <c r="K309" s="167"/>
      <c r="L309" s="77"/>
      <c r="M309" s="169"/>
      <c r="N309" s="169"/>
      <c r="P309" s="7"/>
      <c r="Q309" s="94"/>
      <c r="R309" s="95"/>
      <c r="S309" s="95"/>
      <c r="T309" s="7"/>
      <c r="U309" s="7"/>
      <c r="V309" s="7"/>
      <c r="W309" s="7"/>
      <c r="X309" s="7"/>
      <c r="Z309" s="8" t="e">
        <f>VLOOKUP(M309,Personalização!$I$7:$J$16,2,FALSE)</f>
        <v>#N/A</v>
      </c>
    </row>
    <row r="310" spans="11:26" x14ac:dyDescent="0.2">
      <c r="K310" s="167"/>
      <c r="L310" s="77"/>
      <c r="M310" s="169"/>
      <c r="N310" s="169"/>
      <c r="P310" s="7"/>
      <c r="Q310" s="94"/>
      <c r="R310" s="95"/>
      <c r="S310" s="95"/>
      <c r="T310" s="7"/>
      <c r="U310" s="7"/>
      <c r="V310" s="7"/>
      <c r="W310" s="7"/>
      <c r="X310" s="7"/>
      <c r="Z310" s="8" t="e">
        <f>VLOOKUP(M310,Personalização!$I$7:$J$16,2,FALSE)</f>
        <v>#N/A</v>
      </c>
    </row>
    <row r="311" spans="11:26" x14ac:dyDescent="0.2">
      <c r="K311" s="167"/>
      <c r="L311" s="77"/>
      <c r="M311" s="169"/>
      <c r="N311" s="169"/>
      <c r="P311" s="7"/>
      <c r="Q311" s="94"/>
      <c r="R311" s="95"/>
      <c r="S311" s="95"/>
      <c r="T311" s="7"/>
      <c r="U311" s="7"/>
      <c r="V311" s="7"/>
      <c r="W311" s="7"/>
      <c r="X311" s="7"/>
      <c r="Z311" s="8" t="e">
        <f>VLOOKUP(M311,Personalização!$I$7:$J$16,2,FALSE)</f>
        <v>#N/A</v>
      </c>
    </row>
    <row r="312" spans="11:26" x14ac:dyDescent="0.2">
      <c r="K312" s="167"/>
      <c r="L312" s="77"/>
      <c r="M312" s="169"/>
      <c r="N312" s="169"/>
      <c r="P312" s="7"/>
      <c r="Q312" s="94"/>
      <c r="R312" s="95"/>
      <c r="S312" s="95"/>
      <c r="T312" s="7"/>
      <c r="U312" s="7"/>
      <c r="V312" s="7"/>
      <c r="W312" s="7"/>
      <c r="X312" s="7"/>
      <c r="Z312" s="8" t="e">
        <f>VLOOKUP(M312,Personalização!$I$7:$J$16,2,FALSE)</f>
        <v>#N/A</v>
      </c>
    </row>
    <row r="313" spans="11:26" x14ac:dyDescent="0.2">
      <c r="K313" s="167"/>
      <c r="L313" s="77"/>
      <c r="M313" s="169"/>
      <c r="N313" s="169"/>
      <c r="P313" s="7"/>
      <c r="Q313" s="94"/>
      <c r="R313" s="95"/>
      <c r="S313" s="95"/>
      <c r="T313" s="7"/>
      <c r="U313" s="7"/>
      <c r="V313" s="7"/>
      <c r="W313" s="7"/>
      <c r="X313" s="7"/>
      <c r="Z313" s="8" t="e">
        <f>VLOOKUP(M313,Personalização!$I$7:$J$16,2,FALSE)</f>
        <v>#N/A</v>
      </c>
    </row>
    <row r="314" spans="11:26" x14ac:dyDescent="0.2">
      <c r="K314" s="167"/>
      <c r="L314" s="77"/>
      <c r="M314" s="169"/>
      <c r="N314" s="169"/>
      <c r="P314" s="7"/>
      <c r="Q314" s="94"/>
      <c r="R314" s="95"/>
      <c r="S314" s="95"/>
      <c r="T314" s="7"/>
      <c r="U314" s="7"/>
      <c r="V314" s="7"/>
      <c r="W314" s="7"/>
      <c r="X314" s="7"/>
      <c r="Z314" s="8" t="e">
        <f>VLOOKUP(M314,Personalização!$I$7:$J$16,2,FALSE)</f>
        <v>#N/A</v>
      </c>
    </row>
    <row r="315" spans="11:26" x14ac:dyDescent="0.2">
      <c r="K315" s="167"/>
      <c r="L315" s="77"/>
      <c r="M315" s="169"/>
      <c r="N315" s="169"/>
      <c r="P315" s="7"/>
      <c r="Q315" s="94"/>
      <c r="R315" s="95"/>
      <c r="S315" s="95"/>
      <c r="T315" s="7"/>
      <c r="U315" s="7"/>
      <c r="V315" s="7"/>
      <c r="W315" s="7"/>
      <c r="X315" s="7"/>
      <c r="Z315" s="8" t="e">
        <f>VLOOKUP(M315,Personalização!$I$7:$J$16,2,FALSE)</f>
        <v>#N/A</v>
      </c>
    </row>
    <row r="316" spans="11:26" x14ac:dyDescent="0.2">
      <c r="K316" s="167"/>
      <c r="L316" s="77"/>
      <c r="M316" s="169"/>
      <c r="N316" s="169"/>
      <c r="P316" s="7"/>
      <c r="Q316" s="94"/>
      <c r="R316" s="95"/>
      <c r="S316" s="95"/>
      <c r="T316" s="7"/>
      <c r="U316" s="7"/>
      <c r="V316" s="7"/>
      <c r="W316" s="7"/>
      <c r="X316" s="7"/>
      <c r="Z316" s="8" t="e">
        <f>VLOOKUP(M316,Personalização!$I$7:$J$16,2,FALSE)</f>
        <v>#N/A</v>
      </c>
    </row>
    <row r="317" spans="11:26" x14ac:dyDescent="0.2">
      <c r="K317" s="167"/>
      <c r="L317" s="77"/>
      <c r="M317" s="169"/>
      <c r="N317" s="169"/>
      <c r="P317" s="7"/>
      <c r="Q317" s="94"/>
      <c r="R317" s="95"/>
      <c r="S317" s="95"/>
      <c r="T317" s="7"/>
      <c r="U317" s="7"/>
      <c r="V317" s="7"/>
      <c r="W317" s="7"/>
      <c r="X317" s="7"/>
      <c r="Z317" s="8" t="e">
        <f>VLOOKUP(M317,Personalização!$I$7:$J$16,2,FALSE)</f>
        <v>#N/A</v>
      </c>
    </row>
    <row r="318" spans="11:26" x14ac:dyDescent="0.2">
      <c r="K318" s="167"/>
      <c r="L318" s="77"/>
      <c r="M318" s="169"/>
      <c r="N318" s="169"/>
      <c r="P318" s="7"/>
      <c r="Q318" s="94"/>
      <c r="R318" s="95"/>
      <c r="S318" s="95"/>
      <c r="T318" s="7"/>
      <c r="U318" s="7"/>
      <c r="V318" s="7"/>
      <c r="W318" s="7"/>
      <c r="X318" s="7"/>
      <c r="Z318" s="8" t="e">
        <f>VLOOKUP(M318,Personalização!$I$7:$J$16,2,FALSE)</f>
        <v>#N/A</v>
      </c>
    </row>
    <row r="319" spans="11:26" x14ac:dyDescent="0.2">
      <c r="K319" s="167"/>
      <c r="L319" s="77"/>
      <c r="M319" s="169"/>
      <c r="N319" s="169"/>
      <c r="P319" s="7"/>
      <c r="Q319" s="94"/>
      <c r="R319" s="95"/>
      <c r="S319" s="95"/>
      <c r="T319" s="7"/>
      <c r="U319" s="7"/>
      <c r="V319" s="7"/>
      <c r="W319" s="7"/>
      <c r="X319" s="7"/>
      <c r="Z319" s="8" t="e">
        <f>VLOOKUP(M319,Personalização!$I$7:$J$16,2,FALSE)</f>
        <v>#N/A</v>
      </c>
    </row>
    <row r="320" spans="11:26" x14ac:dyDescent="0.2">
      <c r="K320" s="167"/>
      <c r="L320" s="77"/>
      <c r="M320" s="169"/>
      <c r="N320" s="169"/>
      <c r="P320" s="7"/>
      <c r="Q320" s="94"/>
      <c r="R320" s="95"/>
      <c r="S320" s="95"/>
      <c r="T320" s="7"/>
      <c r="U320" s="7"/>
      <c r="V320" s="7"/>
      <c r="W320" s="7"/>
      <c r="X320" s="7"/>
      <c r="Z320" s="8" t="e">
        <f>VLOOKUP(M320,Personalização!$I$7:$J$16,2,FALSE)</f>
        <v>#N/A</v>
      </c>
    </row>
    <row r="321" spans="11:26" x14ac:dyDescent="0.2">
      <c r="K321" s="167"/>
      <c r="L321" s="77"/>
      <c r="M321" s="169"/>
      <c r="N321" s="169"/>
      <c r="P321" s="7"/>
      <c r="Q321" s="94"/>
      <c r="R321" s="95"/>
      <c r="S321" s="95"/>
      <c r="T321" s="7"/>
      <c r="U321" s="7"/>
      <c r="V321" s="7"/>
      <c r="W321" s="7"/>
      <c r="X321" s="7"/>
      <c r="Z321" s="8" t="e">
        <f>VLOOKUP(M321,Personalização!$I$7:$J$16,2,FALSE)</f>
        <v>#N/A</v>
      </c>
    </row>
    <row r="322" spans="11:26" x14ac:dyDescent="0.2">
      <c r="K322" s="167"/>
      <c r="L322" s="77"/>
      <c r="M322" s="169"/>
      <c r="N322" s="169"/>
      <c r="P322" s="7"/>
      <c r="Q322" s="94"/>
      <c r="R322" s="95"/>
      <c r="S322" s="95"/>
      <c r="T322" s="7"/>
      <c r="U322" s="7"/>
      <c r="V322" s="7"/>
      <c r="W322" s="7"/>
      <c r="X322" s="7"/>
      <c r="Z322" s="8" t="e">
        <f>VLOOKUP(M322,Personalização!$I$7:$J$16,2,FALSE)</f>
        <v>#N/A</v>
      </c>
    </row>
    <row r="323" spans="11:26" x14ac:dyDescent="0.2">
      <c r="K323" s="167"/>
      <c r="L323" s="77"/>
      <c r="M323" s="169"/>
      <c r="N323" s="169"/>
      <c r="P323" s="7"/>
      <c r="Q323" s="94"/>
      <c r="R323" s="95"/>
      <c r="S323" s="95"/>
      <c r="T323" s="7"/>
      <c r="U323" s="7"/>
      <c r="V323" s="7"/>
      <c r="W323" s="7"/>
      <c r="X323" s="7"/>
      <c r="Z323" s="8" t="e">
        <f>VLOOKUP(M323,Personalização!$I$7:$J$16,2,FALSE)</f>
        <v>#N/A</v>
      </c>
    </row>
    <row r="324" spans="11:26" x14ac:dyDescent="0.2">
      <c r="K324" s="167"/>
      <c r="L324" s="77"/>
      <c r="M324" s="169"/>
      <c r="N324" s="169"/>
      <c r="P324" s="7"/>
      <c r="Q324" s="94"/>
      <c r="R324" s="95"/>
      <c r="S324" s="95"/>
      <c r="T324" s="7"/>
      <c r="U324" s="7"/>
      <c r="V324" s="7"/>
      <c r="W324" s="7"/>
      <c r="X324" s="7"/>
      <c r="Z324" s="8" t="e">
        <f>VLOOKUP(M324,Personalização!$I$7:$J$16,2,FALSE)</f>
        <v>#N/A</v>
      </c>
    </row>
    <row r="325" spans="11:26" x14ac:dyDescent="0.2">
      <c r="K325" s="167"/>
      <c r="L325" s="77"/>
      <c r="M325" s="169"/>
      <c r="N325" s="169"/>
      <c r="P325" s="7"/>
      <c r="Q325" s="94"/>
      <c r="R325" s="95"/>
      <c r="S325" s="95"/>
      <c r="T325" s="7"/>
      <c r="U325" s="7"/>
      <c r="V325" s="7"/>
      <c r="W325" s="7"/>
      <c r="X325" s="7"/>
      <c r="Z325" s="8" t="e">
        <f>VLOOKUP(M325,Personalização!$I$7:$J$16,2,FALSE)</f>
        <v>#N/A</v>
      </c>
    </row>
    <row r="326" spans="11:26" x14ac:dyDescent="0.2">
      <c r="K326" s="167"/>
      <c r="L326" s="77"/>
      <c r="M326" s="169"/>
      <c r="N326" s="169"/>
      <c r="P326" s="7"/>
      <c r="Q326" s="94"/>
      <c r="R326" s="95"/>
      <c r="S326" s="95"/>
      <c r="T326" s="7"/>
      <c r="U326" s="7"/>
      <c r="V326" s="7"/>
      <c r="W326" s="7"/>
      <c r="X326" s="7"/>
      <c r="Z326" s="8" t="e">
        <f>VLOOKUP(M326,Personalização!$I$7:$J$16,2,FALSE)</f>
        <v>#N/A</v>
      </c>
    </row>
    <row r="327" spans="11:26" x14ac:dyDescent="0.2">
      <c r="K327" s="167"/>
      <c r="L327" s="77"/>
      <c r="M327" s="169"/>
      <c r="N327" s="169"/>
      <c r="P327" s="7"/>
      <c r="Q327" s="94"/>
      <c r="R327" s="95"/>
      <c r="S327" s="95"/>
      <c r="T327" s="7"/>
      <c r="U327" s="7"/>
      <c r="V327" s="7"/>
      <c r="W327" s="7"/>
      <c r="X327" s="7"/>
      <c r="Z327" s="8" t="e">
        <f>VLOOKUP(M327,Personalização!$I$7:$J$16,2,FALSE)</f>
        <v>#N/A</v>
      </c>
    </row>
    <row r="328" spans="11:26" x14ac:dyDescent="0.2">
      <c r="K328" s="167"/>
      <c r="L328" s="77"/>
      <c r="M328" s="169"/>
      <c r="N328" s="169"/>
      <c r="P328" s="7"/>
      <c r="Q328" s="94"/>
      <c r="R328" s="95"/>
      <c r="S328" s="95"/>
      <c r="T328" s="7"/>
      <c r="U328" s="7"/>
      <c r="V328" s="7"/>
      <c r="W328" s="7"/>
      <c r="X328" s="7"/>
      <c r="Z328" s="8" t="e">
        <f>VLOOKUP(M328,Personalização!$I$7:$J$16,2,FALSE)</f>
        <v>#N/A</v>
      </c>
    </row>
    <row r="329" spans="11:26" x14ac:dyDescent="0.2">
      <c r="K329" s="167"/>
      <c r="L329" s="77"/>
      <c r="M329" s="169"/>
      <c r="N329" s="169"/>
      <c r="P329" s="7"/>
      <c r="Q329" s="94"/>
      <c r="R329" s="95"/>
      <c r="S329" s="95"/>
      <c r="T329" s="7"/>
      <c r="U329" s="7"/>
      <c r="V329" s="7"/>
      <c r="W329" s="7"/>
      <c r="X329" s="7"/>
      <c r="Z329" s="8" t="e">
        <f>VLOOKUP(M329,Personalização!$I$7:$J$16,2,FALSE)</f>
        <v>#N/A</v>
      </c>
    </row>
    <row r="330" spans="11:26" x14ac:dyDescent="0.2">
      <c r="K330" s="167"/>
      <c r="L330" s="77"/>
      <c r="M330" s="169"/>
      <c r="N330" s="169"/>
      <c r="P330" s="7"/>
      <c r="Q330" s="94"/>
      <c r="R330" s="95"/>
      <c r="S330" s="95"/>
      <c r="T330" s="7"/>
      <c r="U330" s="7"/>
      <c r="V330" s="7"/>
      <c r="W330" s="7"/>
      <c r="X330" s="7"/>
      <c r="Z330" s="8" t="e">
        <f>VLOOKUP(M330,Personalização!$I$7:$J$16,2,FALSE)</f>
        <v>#N/A</v>
      </c>
    </row>
    <row r="331" spans="11:26" x14ac:dyDescent="0.2">
      <c r="K331" s="167"/>
      <c r="L331" s="77"/>
      <c r="M331" s="169"/>
      <c r="N331" s="169"/>
      <c r="P331" s="7"/>
      <c r="Q331" s="94"/>
      <c r="R331" s="95"/>
      <c r="S331" s="95"/>
      <c r="T331" s="7"/>
      <c r="U331" s="7"/>
      <c r="V331" s="7"/>
      <c r="W331" s="7"/>
      <c r="X331" s="7"/>
      <c r="Z331" s="8" t="e">
        <f>VLOOKUP(M331,Personalização!$I$7:$J$16,2,FALSE)</f>
        <v>#N/A</v>
      </c>
    </row>
    <row r="332" spans="11:26" x14ac:dyDescent="0.2">
      <c r="K332" s="167"/>
      <c r="L332" s="77"/>
      <c r="M332" s="169"/>
      <c r="N332" s="169"/>
      <c r="P332" s="7"/>
      <c r="Q332" s="94"/>
      <c r="R332" s="95"/>
      <c r="S332" s="95"/>
      <c r="T332" s="7"/>
      <c r="U332" s="7"/>
      <c r="V332" s="7"/>
      <c r="W332" s="7"/>
      <c r="X332" s="7"/>
      <c r="Z332" s="8" t="e">
        <f>VLOOKUP(M332,Personalização!$I$7:$J$16,2,FALSE)</f>
        <v>#N/A</v>
      </c>
    </row>
    <row r="333" spans="11:26" x14ac:dyDescent="0.2">
      <c r="K333" s="167"/>
      <c r="L333" s="77"/>
      <c r="M333" s="169"/>
      <c r="N333" s="169"/>
      <c r="P333" s="7"/>
      <c r="Q333" s="94"/>
      <c r="R333" s="95"/>
      <c r="S333" s="95"/>
      <c r="T333" s="7"/>
      <c r="U333" s="7"/>
      <c r="V333" s="7"/>
      <c r="W333" s="7"/>
      <c r="X333" s="7"/>
      <c r="Z333" s="8" t="e">
        <f>VLOOKUP(M333,Personalização!$I$7:$J$16,2,FALSE)</f>
        <v>#N/A</v>
      </c>
    </row>
    <row r="334" spans="11:26" x14ac:dyDescent="0.2">
      <c r="K334" s="167"/>
      <c r="L334" s="77"/>
      <c r="M334" s="169"/>
      <c r="N334" s="169"/>
      <c r="P334" s="7"/>
      <c r="Q334" s="94"/>
      <c r="R334" s="95"/>
      <c r="S334" s="95"/>
      <c r="T334" s="7"/>
      <c r="U334" s="7"/>
      <c r="V334" s="7"/>
      <c r="W334" s="7"/>
      <c r="X334" s="7"/>
      <c r="Z334" s="8" t="e">
        <f>VLOOKUP(M334,Personalização!$I$7:$J$16,2,FALSE)</f>
        <v>#N/A</v>
      </c>
    </row>
    <row r="335" spans="11:26" x14ac:dyDescent="0.2">
      <c r="K335" s="167"/>
      <c r="L335" s="77"/>
      <c r="M335" s="169"/>
      <c r="N335" s="169"/>
      <c r="P335" s="7"/>
      <c r="Q335" s="94"/>
      <c r="R335" s="95"/>
      <c r="S335" s="95"/>
      <c r="T335" s="7"/>
      <c r="U335" s="7"/>
      <c r="V335" s="7"/>
      <c r="W335" s="7"/>
      <c r="X335" s="7"/>
      <c r="Z335" s="8" t="e">
        <f>VLOOKUP(M335,Personalização!$I$7:$J$16,2,FALSE)</f>
        <v>#N/A</v>
      </c>
    </row>
    <row r="336" spans="11:26" x14ac:dyDescent="0.2">
      <c r="K336" s="167"/>
      <c r="L336" s="77"/>
      <c r="M336" s="169"/>
      <c r="N336" s="169"/>
      <c r="P336" s="7"/>
      <c r="Q336" s="94"/>
      <c r="R336" s="95"/>
      <c r="S336" s="95"/>
      <c r="T336" s="7"/>
      <c r="U336" s="7"/>
      <c r="V336" s="7"/>
      <c r="W336" s="7"/>
      <c r="X336" s="7"/>
      <c r="Z336" s="8" t="e">
        <f>VLOOKUP(M336,Personalização!$I$7:$J$16,2,FALSE)</f>
        <v>#N/A</v>
      </c>
    </row>
    <row r="337" spans="11:26" x14ac:dyDescent="0.2">
      <c r="K337" s="167"/>
      <c r="L337" s="77"/>
      <c r="M337" s="169"/>
      <c r="N337" s="169"/>
      <c r="P337" s="7"/>
      <c r="Q337" s="94"/>
      <c r="R337" s="95"/>
      <c r="S337" s="95"/>
      <c r="T337" s="7"/>
      <c r="U337" s="7"/>
      <c r="V337" s="7"/>
      <c r="W337" s="7"/>
      <c r="X337" s="7"/>
      <c r="Z337" s="8" t="e">
        <f>VLOOKUP(M337,Personalização!$I$7:$J$16,2,FALSE)</f>
        <v>#N/A</v>
      </c>
    </row>
    <row r="338" spans="11:26" x14ac:dyDescent="0.2">
      <c r="K338" s="167"/>
      <c r="L338" s="77"/>
      <c r="M338" s="169"/>
      <c r="N338" s="169"/>
      <c r="P338" s="7"/>
      <c r="Q338" s="94"/>
      <c r="R338" s="95"/>
      <c r="S338" s="95"/>
      <c r="T338" s="7"/>
      <c r="U338" s="7"/>
      <c r="V338" s="7"/>
      <c r="W338" s="7"/>
      <c r="X338" s="7"/>
      <c r="Z338" s="8" t="e">
        <f>VLOOKUP(M338,Personalização!$I$7:$J$16,2,FALSE)</f>
        <v>#N/A</v>
      </c>
    </row>
    <row r="339" spans="11:26" x14ac:dyDescent="0.2">
      <c r="K339" s="167"/>
      <c r="L339" s="77"/>
      <c r="M339" s="169"/>
      <c r="N339" s="169"/>
      <c r="P339" s="7"/>
      <c r="Q339" s="94"/>
      <c r="R339" s="95"/>
      <c r="S339" s="95"/>
      <c r="T339" s="7"/>
      <c r="U339" s="7"/>
      <c r="V339" s="7"/>
      <c r="W339" s="7"/>
      <c r="X339" s="7"/>
      <c r="Z339" s="8" t="e">
        <f>VLOOKUP(M339,Personalização!$I$7:$J$16,2,FALSE)</f>
        <v>#N/A</v>
      </c>
    </row>
    <row r="340" spans="11:26" x14ac:dyDescent="0.2">
      <c r="K340" s="167"/>
      <c r="L340" s="77"/>
      <c r="M340" s="169"/>
      <c r="N340" s="169"/>
      <c r="P340" s="7"/>
      <c r="Q340" s="94"/>
      <c r="R340" s="95"/>
      <c r="S340" s="95"/>
      <c r="T340" s="7"/>
      <c r="U340" s="7"/>
      <c r="V340" s="7"/>
      <c r="W340" s="7"/>
      <c r="X340" s="7"/>
      <c r="Z340" s="8" t="e">
        <f>VLOOKUP(M340,Personalização!$I$7:$J$16,2,FALSE)</f>
        <v>#N/A</v>
      </c>
    </row>
    <row r="341" spans="11:26" x14ac:dyDescent="0.2">
      <c r="K341" s="167"/>
      <c r="L341" s="77"/>
      <c r="M341" s="169"/>
      <c r="N341" s="169"/>
      <c r="P341" s="7"/>
      <c r="Q341" s="94"/>
      <c r="R341" s="95"/>
      <c r="S341" s="95"/>
      <c r="T341" s="7"/>
      <c r="U341" s="7"/>
      <c r="V341" s="7"/>
      <c r="W341" s="7"/>
      <c r="X341" s="7"/>
      <c r="Z341" s="8" t="e">
        <f>VLOOKUP(M341,Personalização!$I$7:$J$16,2,FALSE)</f>
        <v>#N/A</v>
      </c>
    </row>
    <row r="342" spans="11:26" x14ac:dyDescent="0.2">
      <c r="K342" s="167"/>
      <c r="L342" s="77"/>
      <c r="M342" s="169"/>
      <c r="N342" s="169"/>
      <c r="P342" s="7"/>
      <c r="Q342" s="94"/>
      <c r="R342" s="95"/>
      <c r="S342" s="95"/>
      <c r="T342" s="7"/>
      <c r="U342" s="7"/>
      <c r="V342" s="7"/>
      <c r="W342" s="7"/>
      <c r="X342" s="7"/>
      <c r="Z342" s="8" t="e">
        <f>VLOOKUP(M342,Personalização!$I$7:$J$16,2,FALSE)</f>
        <v>#N/A</v>
      </c>
    </row>
    <row r="343" spans="11:26" x14ac:dyDescent="0.2">
      <c r="K343" s="167"/>
      <c r="L343" s="77"/>
      <c r="M343" s="169"/>
      <c r="N343" s="169"/>
      <c r="P343" s="7"/>
      <c r="Q343" s="94"/>
      <c r="R343" s="95"/>
      <c r="S343" s="95"/>
      <c r="T343" s="7"/>
      <c r="U343" s="7"/>
      <c r="V343" s="7"/>
      <c r="W343" s="7"/>
      <c r="X343" s="7"/>
      <c r="Z343" s="8" t="e">
        <f>VLOOKUP(M343,Personalização!$I$7:$J$16,2,FALSE)</f>
        <v>#N/A</v>
      </c>
    </row>
    <row r="344" spans="11:26" x14ac:dyDescent="0.2">
      <c r="K344" s="167"/>
      <c r="L344" s="77"/>
      <c r="M344" s="169"/>
      <c r="N344" s="169"/>
      <c r="P344" s="7"/>
      <c r="Q344" s="94"/>
      <c r="R344" s="95"/>
      <c r="S344" s="95"/>
      <c r="T344" s="7"/>
      <c r="U344" s="7"/>
      <c r="V344" s="7"/>
      <c r="W344" s="7"/>
      <c r="X344" s="7"/>
      <c r="Z344" s="8" t="e">
        <f>VLOOKUP(M344,Personalização!$I$7:$J$16,2,FALSE)</f>
        <v>#N/A</v>
      </c>
    </row>
    <row r="345" spans="11:26" x14ac:dyDescent="0.2">
      <c r="K345" s="167"/>
      <c r="L345" s="77"/>
      <c r="M345" s="169"/>
      <c r="N345" s="169"/>
      <c r="P345" s="7"/>
      <c r="Q345" s="94"/>
      <c r="R345" s="95"/>
      <c r="S345" s="95"/>
      <c r="T345" s="7"/>
      <c r="U345" s="7"/>
      <c r="V345" s="7"/>
      <c r="W345" s="7"/>
      <c r="X345" s="7"/>
      <c r="Z345" s="8" t="e">
        <f>VLOOKUP(M345,Personalização!$I$7:$J$16,2,FALSE)</f>
        <v>#N/A</v>
      </c>
    </row>
    <row r="346" spans="11:26" x14ac:dyDescent="0.2">
      <c r="K346" s="167"/>
      <c r="L346" s="77"/>
      <c r="M346" s="169"/>
      <c r="N346" s="169"/>
      <c r="P346" s="7"/>
      <c r="Q346" s="94"/>
      <c r="R346" s="95"/>
      <c r="S346" s="95"/>
      <c r="T346" s="7"/>
      <c r="U346" s="7"/>
      <c r="V346" s="7"/>
      <c r="W346" s="7"/>
      <c r="X346" s="7"/>
      <c r="Z346" s="8" t="e">
        <f>VLOOKUP(M346,Personalização!$I$7:$J$16,2,FALSE)</f>
        <v>#N/A</v>
      </c>
    </row>
    <row r="347" spans="11:26" x14ac:dyDescent="0.2">
      <c r="K347" s="167"/>
      <c r="L347" s="77"/>
      <c r="M347" s="169"/>
      <c r="N347" s="169"/>
      <c r="P347" s="7"/>
      <c r="Q347" s="94"/>
      <c r="R347" s="95"/>
      <c r="S347" s="95"/>
      <c r="T347" s="7"/>
      <c r="U347" s="7"/>
      <c r="V347" s="7"/>
      <c r="W347" s="7"/>
      <c r="X347" s="7"/>
      <c r="Z347" s="8" t="e">
        <f>VLOOKUP(M347,Personalização!$I$7:$J$16,2,FALSE)</f>
        <v>#N/A</v>
      </c>
    </row>
    <row r="348" spans="11:26" x14ac:dyDescent="0.2">
      <c r="K348" s="167"/>
      <c r="L348" s="77"/>
      <c r="M348" s="169"/>
      <c r="N348" s="169"/>
      <c r="P348" s="7"/>
      <c r="Q348" s="94"/>
      <c r="R348" s="95"/>
      <c r="S348" s="95"/>
      <c r="T348" s="7"/>
      <c r="U348" s="7"/>
      <c r="V348" s="7"/>
      <c r="W348" s="7"/>
      <c r="X348" s="7"/>
      <c r="Z348" s="8" t="e">
        <f>VLOOKUP(M348,Personalização!$I$7:$J$16,2,FALSE)</f>
        <v>#N/A</v>
      </c>
    </row>
    <row r="349" spans="11:26" x14ac:dyDescent="0.2">
      <c r="K349" s="167"/>
      <c r="L349" s="77"/>
      <c r="M349" s="169"/>
      <c r="N349" s="169"/>
      <c r="P349" s="7"/>
      <c r="Q349" s="94"/>
      <c r="R349" s="95"/>
      <c r="S349" s="95"/>
      <c r="T349" s="7"/>
      <c r="U349" s="7"/>
      <c r="V349" s="7"/>
      <c r="W349" s="7"/>
      <c r="X349" s="7"/>
      <c r="Z349" s="8" t="e">
        <f>VLOOKUP(M349,Personalização!$I$7:$J$16,2,FALSE)</f>
        <v>#N/A</v>
      </c>
    </row>
    <row r="350" spans="11:26" x14ac:dyDescent="0.2">
      <c r="K350" s="167"/>
      <c r="L350" s="77"/>
      <c r="M350" s="169"/>
      <c r="N350" s="169"/>
      <c r="P350" s="7"/>
      <c r="Q350" s="94"/>
      <c r="R350" s="95"/>
      <c r="S350" s="95"/>
      <c r="T350" s="7"/>
      <c r="U350" s="7"/>
      <c r="V350" s="7"/>
      <c r="W350" s="7"/>
      <c r="X350" s="7"/>
      <c r="Z350" s="8" t="e">
        <f>VLOOKUP(M350,Personalização!$I$7:$J$16,2,FALSE)</f>
        <v>#N/A</v>
      </c>
    </row>
    <row r="351" spans="11:26" x14ac:dyDescent="0.2">
      <c r="K351" s="167"/>
      <c r="L351" s="77"/>
      <c r="M351" s="169"/>
      <c r="N351" s="169"/>
      <c r="P351" s="7"/>
      <c r="Q351" s="94"/>
      <c r="R351" s="95"/>
      <c r="S351" s="95"/>
      <c r="T351" s="7"/>
      <c r="U351" s="7"/>
      <c r="V351" s="7"/>
      <c r="W351" s="7"/>
      <c r="X351" s="7"/>
      <c r="Z351" s="8" t="e">
        <f>VLOOKUP(M351,Personalização!$I$7:$J$16,2,FALSE)</f>
        <v>#N/A</v>
      </c>
    </row>
    <row r="352" spans="11:26" x14ac:dyDescent="0.2">
      <c r="K352" s="167"/>
      <c r="L352" s="77"/>
      <c r="M352" s="169"/>
      <c r="N352" s="169"/>
      <c r="P352" s="7"/>
      <c r="Q352" s="94"/>
      <c r="R352" s="95"/>
      <c r="S352" s="95"/>
      <c r="T352" s="7"/>
      <c r="U352" s="7"/>
      <c r="V352" s="7"/>
      <c r="W352" s="7"/>
      <c r="X352" s="7"/>
      <c r="Z352" s="8" t="e">
        <f>VLOOKUP(M352,Personalização!$I$7:$J$16,2,FALSE)</f>
        <v>#N/A</v>
      </c>
    </row>
    <row r="353" spans="11:26" x14ac:dyDescent="0.2">
      <c r="K353" s="167"/>
      <c r="L353" s="77"/>
      <c r="M353" s="169"/>
      <c r="N353" s="169"/>
      <c r="P353" s="7"/>
      <c r="Q353" s="94"/>
      <c r="R353" s="95"/>
      <c r="S353" s="95"/>
      <c r="T353" s="7"/>
      <c r="U353" s="7"/>
      <c r="V353" s="7"/>
      <c r="W353" s="7"/>
      <c r="X353" s="7"/>
      <c r="Z353" s="8" t="e">
        <f>VLOOKUP(M353,Personalização!$I$7:$J$16,2,FALSE)</f>
        <v>#N/A</v>
      </c>
    </row>
    <row r="354" spans="11:26" x14ac:dyDescent="0.2">
      <c r="K354" s="167"/>
      <c r="L354" s="77"/>
      <c r="M354" s="169"/>
      <c r="N354" s="169"/>
      <c r="P354" s="7"/>
      <c r="Q354" s="94"/>
      <c r="R354" s="95"/>
      <c r="S354" s="95"/>
      <c r="T354" s="7"/>
      <c r="U354" s="7"/>
      <c r="V354" s="7"/>
      <c r="W354" s="7"/>
      <c r="X354" s="7"/>
      <c r="Z354" s="8" t="e">
        <f>VLOOKUP(M354,Personalização!$I$7:$J$16,2,FALSE)</f>
        <v>#N/A</v>
      </c>
    </row>
    <row r="355" spans="11:26" x14ac:dyDescent="0.2">
      <c r="K355" s="167"/>
      <c r="L355" s="77"/>
      <c r="M355" s="169"/>
      <c r="N355" s="169"/>
      <c r="P355" s="7"/>
      <c r="Q355" s="94"/>
      <c r="R355" s="95"/>
      <c r="S355" s="95"/>
      <c r="T355" s="7"/>
      <c r="U355" s="7"/>
      <c r="V355" s="7"/>
      <c r="W355" s="7"/>
      <c r="X355" s="7"/>
      <c r="Z355" s="8" t="e">
        <f>VLOOKUP(M355,Personalização!$I$7:$J$16,2,FALSE)</f>
        <v>#N/A</v>
      </c>
    </row>
    <row r="356" spans="11:26" x14ac:dyDescent="0.2">
      <c r="K356" s="167"/>
      <c r="L356" s="77"/>
      <c r="M356" s="169"/>
      <c r="N356" s="169"/>
      <c r="P356" s="7"/>
      <c r="Q356" s="94"/>
      <c r="R356" s="95"/>
      <c r="S356" s="95"/>
      <c r="T356" s="7"/>
      <c r="U356" s="7"/>
      <c r="V356" s="7"/>
      <c r="W356" s="7"/>
      <c r="X356" s="7"/>
      <c r="Z356" s="8" t="e">
        <f>VLOOKUP(M356,Personalização!$I$7:$J$16,2,FALSE)</f>
        <v>#N/A</v>
      </c>
    </row>
    <row r="357" spans="11:26" x14ac:dyDescent="0.2">
      <c r="K357" s="167"/>
      <c r="L357" s="77"/>
      <c r="M357" s="169"/>
      <c r="N357" s="169"/>
      <c r="P357" s="7"/>
      <c r="Q357" s="94"/>
      <c r="R357" s="95"/>
      <c r="S357" s="95"/>
      <c r="T357" s="7"/>
      <c r="U357" s="7"/>
      <c r="V357" s="7"/>
      <c r="W357" s="7"/>
      <c r="X357" s="7"/>
      <c r="Z357" s="8" t="e">
        <f>VLOOKUP(M357,Personalização!$I$7:$J$16,2,FALSE)</f>
        <v>#N/A</v>
      </c>
    </row>
    <row r="358" spans="11:26" x14ac:dyDescent="0.2">
      <c r="K358" s="167"/>
      <c r="L358" s="77"/>
      <c r="M358" s="169"/>
      <c r="N358" s="169"/>
      <c r="P358" s="7"/>
      <c r="Q358" s="94"/>
      <c r="R358" s="95"/>
      <c r="S358" s="95"/>
      <c r="T358" s="7"/>
      <c r="U358" s="7"/>
      <c r="V358" s="7"/>
      <c r="W358" s="7"/>
      <c r="X358" s="7"/>
      <c r="Z358" s="8" t="e">
        <f>VLOOKUP(M358,Personalização!$I$7:$J$16,2,FALSE)</f>
        <v>#N/A</v>
      </c>
    </row>
    <row r="359" spans="11:26" x14ac:dyDescent="0.2">
      <c r="K359" s="167"/>
      <c r="L359" s="77"/>
      <c r="M359" s="169"/>
      <c r="N359" s="169"/>
      <c r="P359" s="7"/>
      <c r="Q359" s="94"/>
      <c r="R359" s="95"/>
      <c r="S359" s="95"/>
      <c r="T359" s="7"/>
      <c r="U359" s="7"/>
      <c r="V359" s="7"/>
      <c r="W359" s="7"/>
      <c r="X359" s="7"/>
      <c r="Z359" s="8" t="e">
        <f>VLOOKUP(M359,Personalização!$I$7:$J$16,2,FALSE)</f>
        <v>#N/A</v>
      </c>
    </row>
    <row r="360" spans="11:26" x14ac:dyDescent="0.2">
      <c r="K360" s="167"/>
      <c r="L360" s="77"/>
      <c r="M360" s="169"/>
      <c r="N360" s="169"/>
      <c r="P360" s="7"/>
      <c r="Q360" s="94"/>
      <c r="R360" s="95"/>
      <c r="S360" s="95"/>
      <c r="T360" s="7"/>
      <c r="U360" s="7"/>
      <c r="V360" s="7"/>
      <c r="W360" s="7"/>
      <c r="X360" s="7"/>
      <c r="Z360" s="8" t="e">
        <f>VLOOKUP(M360,Personalização!$I$7:$J$16,2,FALSE)</f>
        <v>#N/A</v>
      </c>
    </row>
    <row r="361" spans="11:26" x14ac:dyDescent="0.2">
      <c r="K361" s="167"/>
      <c r="L361" s="77"/>
      <c r="M361" s="169"/>
      <c r="N361" s="169"/>
      <c r="P361" s="7"/>
      <c r="Q361" s="94"/>
      <c r="R361" s="95"/>
      <c r="S361" s="95"/>
      <c r="T361" s="7"/>
      <c r="U361" s="7"/>
      <c r="V361" s="7"/>
      <c r="W361" s="7"/>
      <c r="X361" s="7"/>
      <c r="Z361" s="8" t="e">
        <f>VLOOKUP(M361,Personalização!$I$7:$J$16,2,FALSE)</f>
        <v>#N/A</v>
      </c>
    </row>
    <row r="362" spans="11:26" x14ac:dyDescent="0.2">
      <c r="K362" s="167"/>
      <c r="L362" s="77"/>
      <c r="M362" s="169"/>
      <c r="N362" s="169"/>
      <c r="P362" s="7"/>
      <c r="Q362" s="94"/>
      <c r="R362" s="95"/>
      <c r="S362" s="95"/>
      <c r="T362" s="7"/>
      <c r="U362" s="7"/>
      <c r="V362" s="7"/>
      <c r="W362" s="7"/>
      <c r="X362" s="7"/>
      <c r="Z362" s="8" t="e">
        <f>VLOOKUP(M362,Personalização!$I$7:$J$16,2,FALSE)</f>
        <v>#N/A</v>
      </c>
    </row>
    <row r="363" spans="11:26" x14ac:dyDescent="0.2">
      <c r="K363" s="167"/>
      <c r="L363" s="77"/>
      <c r="M363" s="169"/>
      <c r="N363" s="169"/>
      <c r="P363" s="7"/>
      <c r="Q363" s="94"/>
      <c r="R363" s="95"/>
      <c r="S363" s="95"/>
      <c r="T363" s="7"/>
      <c r="U363" s="7"/>
      <c r="V363" s="7"/>
      <c r="W363" s="7"/>
      <c r="X363" s="7"/>
      <c r="Z363" s="8" t="e">
        <f>VLOOKUP(M363,Personalização!$I$7:$J$16,2,FALSE)</f>
        <v>#N/A</v>
      </c>
    </row>
    <row r="364" spans="11:26" x14ac:dyDescent="0.2">
      <c r="K364" s="167"/>
      <c r="L364" s="77"/>
      <c r="M364" s="169"/>
      <c r="N364" s="169"/>
      <c r="P364" s="7"/>
      <c r="Q364" s="94"/>
      <c r="R364" s="95"/>
      <c r="S364" s="95"/>
      <c r="T364" s="7"/>
      <c r="U364" s="7"/>
      <c r="V364" s="7"/>
      <c r="W364" s="7"/>
      <c r="X364" s="7"/>
      <c r="Z364" s="8" t="e">
        <f>VLOOKUP(M364,Personalização!$I$7:$J$16,2,FALSE)</f>
        <v>#N/A</v>
      </c>
    </row>
    <row r="365" spans="11:26" x14ac:dyDescent="0.2">
      <c r="K365" s="167"/>
      <c r="L365" s="77"/>
      <c r="M365" s="169"/>
      <c r="N365" s="169"/>
      <c r="P365" s="7"/>
      <c r="Q365" s="94"/>
      <c r="R365" s="95"/>
      <c r="S365" s="95"/>
      <c r="T365" s="7"/>
      <c r="U365" s="7"/>
      <c r="V365" s="7"/>
      <c r="W365" s="7"/>
      <c r="X365" s="7"/>
      <c r="Z365" s="8" t="e">
        <f>VLOOKUP(M365,Personalização!$I$7:$J$16,2,FALSE)</f>
        <v>#N/A</v>
      </c>
    </row>
    <row r="366" spans="11:26" x14ac:dyDescent="0.2">
      <c r="K366" s="167"/>
      <c r="L366" s="77"/>
      <c r="M366" s="169"/>
      <c r="N366" s="169"/>
      <c r="P366" s="7"/>
      <c r="Q366" s="94"/>
      <c r="R366" s="95"/>
      <c r="S366" s="95"/>
      <c r="T366" s="7"/>
      <c r="U366" s="7"/>
      <c r="V366" s="7"/>
      <c r="W366" s="7"/>
      <c r="X366" s="7"/>
      <c r="Z366" s="8" t="e">
        <f>VLOOKUP(M366,Personalização!$I$7:$J$16,2,FALSE)</f>
        <v>#N/A</v>
      </c>
    </row>
    <row r="367" spans="11:26" x14ac:dyDescent="0.2">
      <c r="K367" s="167"/>
      <c r="L367" s="77"/>
      <c r="M367" s="169"/>
      <c r="N367" s="169"/>
      <c r="P367" s="7"/>
      <c r="Q367" s="94"/>
      <c r="R367" s="95"/>
      <c r="S367" s="95"/>
      <c r="T367" s="7"/>
      <c r="U367" s="7"/>
      <c r="V367" s="7"/>
      <c r="W367" s="7"/>
      <c r="X367" s="7"/>
      <c r="Z367" s="8" t="e">
        <f>VLOOKUP(M367,Personalização!$I$7:$J$16,2,FALSE)</f>
        <v>#N/A</v>
      </c>
    </row>
    <row r="368" spans="11:26" x14ac:dyDescent="0.2">
      <c r="K368" s="167"/>
      <c r="L368" s="77"/>
      <c r="M368" s="169"/>
      <c r="N368" s="169"/>
      <c r="P368" s="7"/>
      <c r="Q368" s="94"/>
      <c r="R368" s="95"/>
      <c r="S368" s="95"/>
      <c r="T368" s="7"/>
      <c r="U368" s="7"/>
      <c r="V368" s="7"/>
      <c r="W368" s="7"/>
      <c r="X368" s="7"/>
      <c r="Z368" s="8" t="e">
        <f>VLOOKUP(M368,Personalização!$I$7:$J$16,2,FALSE)</f>
        <v>#N/A</v>
      </c>
    </row>
    <row r="369" spans="11:26" x14ac:dyDescent="0.2">
      <c r="K369" s="167"/>
      <c r="L369" s="77"/>
      <c r="M369" s="169"/>
      <c r="N369" s="169"/>
      <c r="P369" s="7"/>
      <c r="Q369" s="94"/>
      <c r="R369" s="95"/>
      <c r="S369" s="95"/>
      <c r="T369" s="7"/>
      <c r="U369" s="7"/>
      <c r="V369" s="7"/>
      <c r="W369" s="7"/>
      <c r="X369" s="7"/>
      <c r="Z369" s="8" t="e">
        <f>VLOOKUP(M369,Personalização!$I$7:$J$16,2,FALSE)</f>
        <v>#N/A</v>
      </c>
    </row>
    <row r="370" spans="11:26" x14ac:dyDescent="0.2">
      <c r="K370" s="167"/>
      <c r="L370" s="77"/>
      <c r="M370" s="169"/>
      <c r="N370" s="169"/>
      <c r="P370" s="7"/>
      <c r="Q370" s="94"/>
      <c r="R370" s="95"/>
      <c r="S370" s="95"/>
      <c r="T370" s="7"/>
      <c r="U370" s="7"/>
      <c r="V370" s="7"/>
      <c r="W370" s="7"/>
      <c r="X370" s="7"/>
      <c r="Z370" s="8" t="e">
        <f>VLOOKUP(M370,Personalização!$I$7:$J$16,2,FALSE)</f>
        <v>#N/A</v>
      </c>
    </row>
    <row r="371" spans="11:26" x14ac:dyDescent="0.2">
      <c r="K371" s="167"/>
      <c r="L371" s="77"/>
      <c r="M371" s="169"/>
      <c r="N371" s="169"/>
      <c r="P371" s="7"/>
      <c r="Q371" s="94"/>
      <c r="R371" s="95"/>
      <c r="S371" s="95"/>
      <c r="T371" s="7"/>
      <c r="U371" s="7"/>
      <c r="V371" s="7"/>
      <c r="W371" s="7"/>
      <c r="X371" s="7"/>
      <c r="Z371" s="8" t="e">
        <f>VLOOKUP(M371,Personalização!$I$7:$J$16,2,FALSE)</f>
        <v>#N/A</v>
      </c>
    </row>
    <row r="372" spans="11:26" x14ac:dyDescent="0.2">
      <c r="K372" s="167"/>
      <c r="L372" s="77"/>
      <c r="M372" s="169"/>
      <c r="N372" s="169"/>
      <c r="P372" s="7"/>
      <c r="Q372" s="94"/>
      <c r="R372" s="95"/>
      <c r="S372" s="95"/>
      <c r="T372" s="7"/>
      <c r="U372" s="7"/>
      <c r="V372" s="7"/>
      <c r="W372" s="7"/>
      <c r="X372" s="7"/>
      <c r="Z372" s="8" t="e">
        <f>VLOOKUP(M372,Personalização!$I$7:$J$16,2,FALSE)</f>
        <v>#N/A</v>
      </c>
    </row>
    <row r="373" spans="11:26" x14ac:dyDescent="0.2">
      <c r="K373" s="167"/>
      <c r="L373" s="77"/>
      <c r="M373" s="169"/>
      <c r="N373" s="169"/>
      <c r="P373" s="7"/>
      <c r="Q373" s="94"/>
      <c r="R373" s="95"/>
      <c r="S373" s="95"/>
      <c r="T373" s="7"/>
      <c r="U373" s="7"/>
      <c r="V373" s="7"/>
      <c r="W373" s="7"/>
      <c r="X373" s="7"/>
      <c r="Z373" s="8" t="e">
        <f>VLOOKUP(M373,Personalização!$I$7:$J$16,2,FALSE)</f>
        <v>#N/A</v>
      </c>
    </row>
    <row r="374" spans="11:26" x14ac:dyDescent="0.2">
      <c r="K374" s="167"/>
      <c r="L374" s="77"/>
      <c r="M374" s="169"/>
      <c r="N374" s="169"/>
      <c r="P374" s="7"/>
      <c r="Q374" s="94"/>
      <c r="R374" s="95"/>
      <c r="S374" s="95"/>
      <c r="T374" s="7"/>
      <c r="U374" s="7"/>
      <c r="V374" s="7"/>
      <c r="W374" s="7"/>
      <c r="X374" s="7"/>
      <c r="Z374" s="8" t="e">
        <f>VLOOKUP(M374,Personalização!$I$7:$J$16,2,FALSE)</f>
        <v>#N/A</v>
      </c>
    </row>
    <row r="375" spans="11:26" x14ac:dyDescent="0.2">
      <c r="K375" s="167"/>
      <c r="L375" s="77"/>
      <c r="M375" s="169"/>
      <c r="N375" s="169"/>
      <c r="P375" s="7"/>
      <c r="Q375" s="94"/>
      <c r="R375" s="95"/>
      <c r="S375" s="95"/>
      <c r="T375" s="7"/>
      <c r="U375" s="7"/>
      <c r="V375" s="7"/>
      <c r="W375" s="7"/>
      <c r="X375" s="7"/>
      <c r="Z375" s="8" t="e">
        <f>VLOOKUP(M375,Personalização!$I$7:$J$16,2,FALSE)</f>
        <v>#N/A</v>
      </c>
    </row>
    <row r="376" spans="11:26" x14ac:dyDescent="0.2">
      <c r="K376" s="167"/>
      <c r="L376" s="77"/>
      <c r="M376" s="169"/>
      <c r="N376" s="169"/>
      <c r="P376" s="7"/>
      <c r="Q376" s="94"/>
      <c r="R376" s="95"/>
      <c r="S376" s="95"/>
      <c r="T376" s="7"/>
      <c r="U376" s="7"/>
      <c r="V376" s="7"/>
      <c r="W376" s="7"/>
      <c r="X376" s="7"/>
      <c r="Z376" s="8" t="e">
        <f>VLOOKUP(M376,Personalização!$I$7:$J$16,2,FALSE)</f>
        <v>#N/A</v>
      </c>
    </row>
    <row r="377" spans="11:26" x14ac:dyDescent="0.2">
      <c r="K377" s="167"/>
      <c r="L377" s="77"/>
      <c r="M377" s="169"/>
      <c r="N377" s="169"/>
      <c r="P377" s="7"/>
      <c r="Q377" s="94"/>
      <c r="R377" s="95"/>
      <c r="S377" s="95"/>
      <c r="T377" s="7"/>
      <c r="U377" s="7"/>
      <c r="V377" s="7"/>
      <c r="W377" s="7"/>
      <c r="X377" s="7"/>
      <c r="Z377" s="8" t="e">
        <f>VLOOKUP(M377,Personalização!$I$7:$J$16,2,FALSE)</f>
        <v>#N/A</v>
      </c>
    </row>
    <row r="378" spans="11:26" x14ac:dyDescent="0.2">
      <c r="K378" s="167"/>
      <c r="L378" s="77"/>
      <c r="M378" s="169"/>
      <c r="N378" s="169"/>
      <c r="P378" s="7"/>
      <c r="Q378" s="94"/>
      <c r="R378" s="95"/>
      <c r="S378" s="95"/>
      <c r="T378" s="7"/>
      <c r="U378" s="7"/>
      <c r="V378" s="7"/>
      <c r="W378" s="7"/>
      <c r="X378" s="7"/>
      <c r="Z378" s="8" t="e">
        <f>VLOOKUP(M378,Personalização!$I$7:$J$16,2,FALSE)</f>
        <v>#N/A</v>
      </c>
    </row>
    <row r="379" spans="11:26" x14ac:dyDescent="0.2">
      <c r="K379" s="167"/>
      <c r="L379" s="77"/>
      <c r="M379" s="169"/>
      <c r="N379" s="169"/>
      <c r="P379" s="7"/>
      <c r="Q379" s="94"/>
      <c r="R379" s="95"/>
      <c r="S379" s="95"/>
      <c r="T379" s="7"/>
      <c r="U379" s="7"/>
      <c r="V379" s="7"/>
      <c r="W379" s="7"/>
      <c r="X379" s="7"/>
      <c r="Z379" s="8" t="e">
        <f>VLOOKUP(M379,Personalização!$I$7:$J$16,2,FALSE)</f>
        <v>#N/A</v>
      </c>
    </row>
    <row r="380" spans="11:26" x14ac:dyDescent="0.2">
      <c r="K380" s="167"/>
      <c r="L380" s="77"/>
      <c r="M380" s="169"/>
      <c r="N380" s="169"/>
      <c r="P380" s="7"/>
      <c r="Q380" s="94"/>
      <c r="R380" s="95"/>
      <c r="S380" s="95"/>
      <c r="T380" s="7"/>
      <c r="U380" s="7"/>
      <c r="V380" s="7"/>
      <c r="W380" s="7"/>
      <c r="X380" s="7"/>
      <c r="Z380" s="8" t="e">
        <f>VLOOKUP(M380,Personalização!$I$7:$J$16,2,FALSE)</f>
        <v>#N/A</v>
      </c>
    </row>
    <row r="381" spans="11:26" x14ac:dyDescent="0.2">
      <c r="K381" s="167"/>
      <c r="L381" s="77"/>
      <c r="M381" s="169"/>
      <c r="N381" s="169"/>
      <c r="P381" s="7"/>
      <c r="Q381" s="94"/>
      <c r="R381" s="95"/>
      <c r="S381" s="95"/>
      <c r="T381" s="7"/>
      <c r="U381" s="7"/>
      <c r="V381" s="7"/>
      <c r="W381" s="7"/>
      <c r="X381" s="7"/>
      <c r="Z381" s="8" t="e">
        <f>VLOOKUP(M381,Personalização!$I$7:$J$16,2,FALSE)</f>
        <v>#N/A</v>
      </c>
    </row>
    <row r="382" spans="11:26" x14ac:dyDescent="0.2">
      <c r="K382" s="167"/>
      <c r="L382" s="77"/>
      <c r="M382" s="169"/>
      <c r="N382" s="169"/>
      <c r="P382" s="7"/>
      <c r="Q382" s="94"/>
      <c r="R382" s="95"/>
      <c r="S382" s="95"/>
      <c r="T382" s="7"/>
      <c r="U382" s="7"/>
      <c r="V382" s="7"/>
      <c r="W382" s="7"/>
      <c r="X382" s="7"/>
      <c r="Z382" s="8" t="e">
        <f>VLOOKUP(M382,Personalização!$I$7:$J$16,2,FALSE)</f>
        <v>#N/A</v>
      </c>
    </row>
    <row r="383" spans="11:26" x14ac:dyDescent="0.2">
      <c r="K383" s="167"/>
      <c r="L383" s="77"/>
      <c r="M383" s="169"/>
      <c r="N383" s="169"/>
      <c r="P383" s="7"/>
      <c r="Q383" s="94"/>
      <c r="R383" s="95"/>
      <c r="S383" s="95"/>
      <c r="T383" s="7"/>
      <c r="U383" s="7"/>
      <c r="V383" s="7"/>
      <c r="W383" s="7"/>
      <c r="X383" s="7"/>
      <c r="Z383" s="8" t="e">
        <f>VLOOKUP(M383,Personalização!$I$7:$J$16,2,FALSE)</f>
        <v>#N/A</v>
      </c>
    </row>
    <row r="384" spans="11:26" x14ac:dyDescent="0.2">
      <c r="K384" s="167"/>
      <c r="L384" s="77"/>
      <c r="M384" s="169"/>
      <c r="N384" s="169"/>
      <c r="P384" s="7"/>
      <c r="Q384" s="94"/>
      <c r="R384" s="95"/>
      <c r="S384" s="95"/>
      <c r="T384" s="7"/>
      <c r="U384" s="7"/>
      <c r="V384" s="7"/>
      <c r="W384" s="7"/>
      <c r="X384" s="7"/>
      <c r="Z384" s="8" t="e">
        <f>VLOOKUP(M384,Personalização!$I$7:$J$16,2,FALSE)</f>
        <v>#N/A</v>
      </c>
    </row>
    <row r="385" spans="11:26" x14ac:dyDescent="0.2">
      <c r="K385" s="167"/>
      <c r="L385" s="77"/>
      <c r="M385" s="169"/>
      <c r="N385" s="169"/>
      <c r="P385" s="7"/>
      <c r="Q385" s="94"/>
      <c r="R385" s="95"/>
      <c r="S385" s="95"/>
      <c r="T385" s="7"/>
      <c r="U385" s="7"/>
      <c r="V385" s="7"/>
      <c r="W385" s="7"/>
      <c r="X385" s="7"/>
      <c r="Z385" s="8" t="e">
        <f>VLOOKUP(M385,Personalização!$I$7:$J$16,2,FALSE)</f>
        <v>#N/A</v>
      </c>
    </row>
    <row r="386" spans="11:26" x14ac:dyDescent="0.2">
      <c r="K386" s="167"/>
      <c r="L386" s="77"/>
      <c r="M386" s="169"/>
      <c r="N386" s="169"/>
      <c r="P386" s="7"/>
      <c r="Q386" s="94"/>
      <c r="R386" s="95"/>
      <c r="S386" s="95"/>
      <c r="T386" s="7"/>
      <c r="U386" s="7"/>
      <c r="V386" s="7"/>
      <c r="W386" s="7"/>
      <c r="X386" s="7"/>
      <c r="Z386" s="8" t="e">
        <f>VLOOKUP(M386,Personalização!$I$7:$J$16,2,FALSE)</f>
        <v>#N/A</v>
      </c>
    </row>
    <row r="387" spans="11:26" x14ac:dyDescent="0.2">
      <c r="K387" s="167"/>
      <c r="L387" s="77"/>
      <c r="M387" s="169"/>
      <c r="N387" s="169"/>
      <c r="P387" s="7"/>
      <c r="Q387" s="94"/>
      <c r="R387" s="95"/>
      <c r="S387" s="95"/>
      <c r="T387" s="7"/>
      <c r="U387" s="7"/>
      <c r="V387" s="7"/>
      <c r="W387" s="7"/>
      <c r="X387" s="7"/>
      <c r="Z387" s="8" t="e">
        <f>VLOOKUP(M387,Personalização!$I$7:$J$16,2,FALSE)</f>
        <v>#N/A</v>
      </c>
    </row>
    <row r="388" spans="11:26" x14ac:dyDescent="0.2">
      <c r="K388" s="167"/>
      <c r="L388" s="77"/>
      <c r="M388" s="169"/>
      <c r="N388" s="169"/>
      <c r="P388" s="7"/>
      <c r="Q388" s="94"/>
      <c r="R388" s="95"/>
      <c r="S388" s="95"/>
      <c r="T388" s="7"/>
      <c r="U388" s="7"/>
      <c r="V388" s="7"/>
      <c r="W388" s="7"/>
      <c r="X388" s="7"/>
      <c r="Z388" s="8" t="e">
        <f>VLOOKUP(M388,Personalização!$I$7:$J$16,2,FALSE)</f>
        <v>#N/A</v>
      </c>
    </row>
    <row r="389" spans="11:26" x14ac:dyDescent="0.2">
      <c r="K389" s="167"/>
      <c r="L389" s="77"/>
      <c r="M389" s="169"/>
      <c r="N389" s="169"/>
      <c r="P389" s="7"/>
      <c r="Q389" s="94"/>
      <c r="R389" s="95"/>
      <c r="S389" s="95"/>
      <c r="T389" s="7"/>
      <c r="U389" s="7"/>
      <c r="V389" s="7"/>
      <c r="W389" s="7"/>
      <c r="X389" s="7"/>
      <c r="Z389" s="8" t="e">
        <f>VLOOKUP(M389,Personalização!$I$7:$J$16,2,FALSE)</f>
        <v>#N/A</v>
      </c>
    </row>
    <row r="390" spans="11:26" x14ac:dyDescent="0.2">
      <c r="K390" s="167"/>
      <c r="L390" s="77"/>
      <c r="M390" s="169"/>
      <c r="N390" s="169"/>
      <c r="P390" s="7"/>
      <c r="Q390" s="94"/>
      <c r="R390" s="95"/>
      <c r="S390" s="95"/>
      <c r="T390" s="7"/>
      <c r="U390" s="7"/>
      <c r="V390" s="7"/>
      <c r="W390" s="7"/>
      <c r="X390" s="7"/>
      <c r="Z390" s="8" t="e">
        <f>VLOOKUP(M390,Personalização!$I$7:$J$16,2,FALSE)</f>
        <v>#N/A</v>
      </c>
    </row>
    <row r="391" spans="11:26" x14ac:dyDescent="0.2">
      <c r="K391" s="167"/>
      <c r="L391" s="77"/>
      <c r="M391" s="169"/>
      <c r="N391" s="169"/>
      <c r="P391" s="7"/>
      <c r="Q391" s="94"/>
      <c r="R391" s="95"/>
      <c r="S391" s="95"/>
      <c r="T391" s="7"/>
      <c r="U391" s="7"/>
      <c r="V391" s="7"/>
      <c r="W391" s="7"/>
      <c r="X391" s="7"/>
      <c r="Z391" s="8" t="e">
        <f>VLOOKUP(M391,Personalização!$I$7:$J$16,2,FALSE)</f>
        <v>#N/A</v>
      </c>
    </row>
    <row r="392" spans="11:26" x14ac:dyDescent="0.2">
      <c r="K392" s="167"/>
      <c r="L392" s="77"/>
      <c r="M392" s="169"/>
      <c r="N392" s="169"/>
      <c r="P392" s="7"/>
      <c r="Q392" s="94"/>
      <c r="R392" s="95"/>
      <c r="S392" s="95"/>
      <c r="T392" s="7"/>
      <c r="U392" s="7"/>
      <c r="V392" s="7"/>
      <c r="W392" s="7"/>
      <c r="X392" s="7"/>
      <c r="Z392" s="8" t="e">
        <f>VLOOKUP(M392,Personalização!$I$7:$J$16,2,FALSE)</f>
        <v>#N/A</v>
      </c>
    </row>
    <row r="393" spans="11:26" x14ac:dyDescent="0.2">
      <c r="K393" s="167"/>
      <c r="L393" s="77"/>
      <c r="M393" s="169"/>
      <c r="N393" s="169"/>
      <c r="P393" s="7"/>
      <c r="Q393" s="94"/>
      <c r="R393" s="95"/>
      <c r="S393" s="95"/>
      <c r="T393" s="7"/>
      <c r="U393" s="7"/>
      <c r="V393" s="7"/>
      <c r="W393" s="7"/>
      <c r="X393" s="7"/>
      <c r="Z393" s="8" t="e">
        <f>VLOOKUP(M393,Personalização!$I$7:$J$16,2,FALSE)</f>
        <v>#N/A</v>
      </c>
    </row>
    <row r="394" spans="11:26" x14ac:dyDescent="0.2">
      <c r="K394" s="167"/>
      <c r="L394" s="77"/>
      <c r="M394" s="169"/>
      <c r="N394" s="169"/>
      <c r="P394" s="7"/>
      <c r="Q394" s="94"/>
      <c r="R394" s="95"/>
      <c r="S394" s="95"/>
      <c r="T394" s="7"/>
      <c r="U394" s="7"/>
      <c r="V394" s="7"/>
      <c r="W394" s="7"/>
      <c r="X394" s="7"/>
      <c r="Z394" s="8" t="e">
        <f>VLOOKUP(M394,Personalização!$I$7:$J$16,2,FALSE)</f>
        <v>#N/A</v>
      </c>
    </row>
    <row r="395" spans="11:26" x14ac:dyDescent="0.2">
      <c r="K395" s="167"/>
      <c r="L395" s="77"/>
      <c r="M395" s="169"/>
      <c r="N395" s="169"/>
      <c r="P395" s="7"/>
      <c r="Q395" s="94"/>
      <c r="R395" s="95"/>
      <c r="S395" s="95"/>
      <c r="T395" s="7"/>
      <c r="U395" s="7"/>
      <c r="V395" s="7"/>
      <c r="W395" s="7"/>
      <c r="X395" s="7"/>
      <c r="Z395" s="8" t="e">
        <f>VLOOKUP(M395,Personalização!$I$7:$J$16,2,FALSE)</f>
        <v>#N/A</v>
      </c>
    </row>
    <row r="396" spans="11:26" x14ac:dyDescent="0.2">
      <c r="K396" s="167"/>
      <c r="L396" s="77"/>
      <c r="M396" s="169"/>
      <c r="N396" s="169"/>
      <c r="P396" s="7"/>
      <c r="Q396" s="94"/>
      <c r="R396" s="95"/>
      <c r="S396" s="95"/>
      <c r="T396" s="7"/>
      <c r="U396" s="7"/>
      <c r="V396" s="7"/>
      <c r="W396" s="7"/>
      <c r="X396" s="7"/>
      <c r="Z396" s="8" t="e">
        <f>VLOOKUP(M396,Personalização!$I$7:$J$16,2,FALSE)</f>
        <v>#N/A</v>
      </c>
    </row>
    <row r="397" spans="11:26" x14ac:dyDescent="0.2">
      <c r="K397" s="167"/>
      <c r="L397" s="77"/>
      <c r="M397" s="169"/>
      <c r="N397" s="169"/>
      <c r="P397" s="7"/>
      <c r="Q397" s="94"/>
      <c r="R397" s="95"/>
      <c r="S397" s="95"/>
      <c r="T397" s="7"/>
      <c r="U397" s="7"/>
      <c r="V397" s="7"/>
      <c r="W397" s="7"/>
      <c r="X397" s="7"/>
      <c r="Z397" s="8" t="e">
        <f>VLOOKUP(M397,Personalização!$I$7:$J$16,2,FALSE)</f>
        <v>#N/A</v>
      </c>
    </row>
    <row r="398" spans="11:26" x14ac:dyDescent="0.2">
      <c r="K398" s="167"/>
      <c r="L398" s="77"/>
      <c r="M398" s="169"/>
      <c r="N398" s="169"/>
      <c r="P398" s="7"/>
      <c r="Q398" s="94"/>
      <c r="R398" s="95"/>
      <c r="S398" s="95"/>
      <c r="T398" s="7"/>
      <c r="U398" s="7"/>
      <c r="V398" s="7"/>
      <c r="W398" s="7"/>
      <c r="X398" s="7"/>
      <c r="Z398" s="8" t="e">
        <f>VLOOKUP(M398,Personalização!$I$7:$J$16,2,FALSE)</f>
        <v>#N/A</v>
      </c>
    </row>
    <row r="399" spans="11:26" x14ac:dyDescent="0.2">
      <c r="K399" s="167"/>
      <c r="L399" s="77"/>
      <c r="M399" s="169"/>
      <c r="N399" s="169"/>
      <c r="P399" s="7"/>
      <c r="Q399" s="94"/>
      <c r="R399" s="95"/>
      <c r="S399" s="95"/>
      <c r="T399" s="7"/>
      <c r="U399" s="7"/>
      <c r="V399" s="7"/>
      <c r="W399" s="7"/>
      <c r="X399" s="7"/>
      <c r="Z399" s="8" t="e">
        <f>VLOOKUP(M399,Personalização!$I$7:$J$16,2,FALSE)</f>
        <v>#N/A</v>
      </c>
    </row>
    <row r="400" spans="11:26" x14ac:dyDescent="0.2">
      <c r="K400" s="167"/>
      <c r="L400" s="77"/>
      <c r="M400" s="169"/>
      <c r="N400" s="169"/>
      <c r="P400" s="7"/>
      <c r="Q400" s="94"/>
      <c r="R400" s="95"/>
      <c r="S400" s="95"/>
      <c r="T400" s="7"/>
      <c r="U400" s="7"/>
      <c r="V400" s="7"/>
      <c r="W400" s="7"/>
      <c r="X400" s="7"/>
      <c r="Z400" s="8" t="e">
        <f>VLOOKUP(M400,Personalização!$I$7:$J$16,2,FALSE)</f>
        <v>#N/A</v>
      </c>
    </row>
    <row r="401" spans="11:26" x14ac:dyDescent="0.2">
      <c r="K401" s="167"/>
      <c r="L401" s="77"/>
      <c r="M401" s="169"/>
      <c r="N401" s="169"/>
      <c r="P401" s="7"/>
      <c r="Q401" s="94"/>
      <c r="R401" s="95"/>
      <c r="S401" s="95"/>
      <c r="T401" s="7"/>
      <c r="U401" s="7"/>
      <c r="V401" s="7"/>
      <c r="W401" s="7"/>
      <c r="X401" s="7"/>
      <c r="Z401" s="8" t="e">
        <f>VLOOKUP(M401,Personalização!$I$7:$J$16,2,FALSE)</f>
        <v>#N/A</v>
      </c>
    </row>
    <row r="402" spans="11:26" x14ac:dyDescent="0.2">
      <c r="K402" s="167"/>
      <c r="L402" s="77"/>
      <c r="M402" s="169"/>
      <c r="N402" s="169"/>
      <c r="P402" s="7"/>
      <c r="Q402" s="94"/>
      <c r="R402" s="95"/>
      <c r="S402" s="95"/>
      <c r="T402" s="7"/>
      <c r="U402" s="7"/>
      <c r="V402" s="7"/>
      <c r="W402" s="7"/>
      <c r="X402" s="7"/>
      <c r="Z402" s="8" t="e">
        <f>VLOOKUP(M402,Personalização!$I$7:$J$16,2,FALSE)</f>
        <v>#N/A</v>
      </c>
    </row>
    <row r="403" spans="11:26" x14ac:dyDescent="0.2">
      <c r="K403" s="167"/>
      <c r="L403" s="77"/>
      <c r="M403" s="169"/>
      <c r="N403" s="169"/>
      <c r="P403" s="7"/>
      <c r="Q403" s="94"/>
      <c r="R403" s="95"/>
      <c r="S403" s="95"/>
      <c r="T403" s="7"/>
      <c r="U403" s="7"/>
      <c r="V403" s="7"/>
      <c r="W403" s="7"/>
      <c r="X403" s="7"/>
      <c r="Z403" s="8" t="e">
        <f>VLOOKUP(M403,Personalização!$I$7:$J$16,2,FALSE)</f>
        <v>#N/A</v>
      </c>
    </row>
    <row r="404" spans="11:26" x14ac:dyDescent="0.2">
      <c r="K404" s="167"/>
      <c r="L404" s="77"/>
      <c r="M404" s="169"/>
      <c r="N404" s="169"/>
      <c r="P404" s="7"/>
      <c r="Q404" s="94"/>
      <c r="R404" s="95"/>
      <c r="S404" s="95"/>
      <c r="T404" s="7"/>
      <c r="U404" s="7"/>
      <c r="V404" s="7"/>
      <c r="W404" s="7"/>
      <c r="X404" s="7"/>
      <c r="Z404" s="8" t="e">
        <f>VLOOKUP(M404,Personalização!$I$7:$J$16,2,FALSE)</f>
        <v>#N/A</v>
      </c>
    </row>
    <row r="405" spans="11:26" x14ac:dyDescent="0.2">
      <c r="K405" s="167"/>
      <c r="L405" s="77"/>
      <c r="M405" s="169"/>
      <c r="N405" s="169"/>
      <c r="P405" s="7"/>
      <c r="Q405" s="94"/>
      <c r="R405" s="95"/>
      <c r="S405" s="95"/>
      <c r="T405" s="7"/>
      <c r="U405" s="7"/>
      <c r="V405" s="7"/>
      <c r="W405" s="7"/>
      <c r="X405" s="7"/>
      <c r="Z405" s="8" t="e">
        <f>VLOOKUP(M405,Personalização!$I$7:$J$16,2,FALSE)</f>
        <v>#N/A</v>
      </c>
    </row>
    <row r="406" spans="11:26" x14ac:dyDescent="0.2">
      <c r="K406" s="167"/>
      <c r="L406" s="77"/>
      <c r="M406" s="169"/>
      <c r="N406" s="169"/>
      <c r="P406" s="7"/>
      <c r="Q406" s="94"/>
      <c r="R406" s="95"/>
      <c r="S406" s="95"/>
      <c r="T406" s="7"/>
      <c r="U406" s="7"/>
      <c r="V406" s="7"/>
      <c r="W406" s="7"/>
      <c r="X406" s="7"/>
      <c r="Z406" s="8" t="e">
        <f>VLOOKUP(M406,Personalização!$I$7:$J$16,2,FALSE)</f>
        <v>#N/A</v>
      </c>
    </row>
    <row r="407" spans="11:26" x14ac:dyDescent="0.2">
      <c r="K407" s="167"/>
      <c r="L407" s="77"/>
      <c r="M407" s="169"/>
      <c r="N407" s="169"/>
      <c r="P407" s="7"/>
      <c r="Q407" s="94"/>
      <c r="R407" s="95"/>
      <c r="S407" s="95"/>
      <c r="T407" s="7"/>
      <c r="U407" s="7"/>
      <c r="V407" s="7"/>
      <c r="W407" s="7"/>
      <c r="X407" s="7"/>
      <c r="Z407" s="8" t="e">
        <f>VLOOKUP(M407,Personalização!$I$7:$J$16,2,FALSE)</f>
        <v>#N/A</v>
      </c>
    </row>
    <row r="408" spans="11:26" x14ac:dyDescent="0.2">
      <c r="K408" s="167"/>
      <c r="L408" s="77"/>
      <c r="M408" s="169"/>
      <c r="N408" s="169"/>
      <c r="P408" s="7"/>
      <c r="Q408" s="94"/>
      <c r="R408" s="95"/>
      <c r="S408" s="95"/>
      <c r="T408" s="7"/>
      <c r="U408" s="7"/>
      <c r="V408" s="7"/>
      <c r="W408" s="7"/>
      <c r="X408" s="7"/>
      <c r="Z408" s="8" t="e">
        <f>VLOOKUP(M408,Personalização!$I$7:$J$16,2,FALSE)</f>
        <v>#N/A</v>
      </c>
    </row>
    <row r="409" spans="11:26" x14ac:dyDescent="0.2">
      <c r="K409" s="167"/>
      <c r="L409" s="77"/>
      <c r="M409" s="169"/>
      <c r="N409" s="169"/>
      <c r="P409" s="7"/>
      <c r="Q409" s="94"/>
      <c r="R409" s="95"/>
      <c r="S409" s="95"/>
      <c r="T409" s="7"/>
      <c r="U409" s="7"/>
      <c r="V409" s="7"/>
      <c r="W409" s="7"/>
      <c r="X409" s="7"/>
      <c r="Z409" s="8" t="e">
        <f>VLOOKUP(M409,Personalização!$I$7:$J$16,2,FALSE)</f>
        <v>#N/A</v>
      </c>
    </row>
    <row r="410" spans="11:26" x14ac:dyDescent="0.2">
      <c r="K410" s="167"/>
      <c r="L410" s="77"/>
      <c r="M410" s="169"/>
      <c r="N410" s="169"/>
      <c r="P410" s="7"/>
      <c r="Q410" s="94"/>
      <c r="R410" s="95"/>
      <c r="S410" s="95"/>
      <c r="T410" s="7"/>
      <c r="U410" s="7"/>
      <c r="V410" s="7"/>
      <c r="W410" s="7"/>
      <c r="X410" s="7"/>
      <c r="Z410" s="8" t="e">
        <f>VLOOKUP(M410,Personalização!$I$7:$J$16,2,FALSE)</f>
        <v>#N/A</v>
      </c>
    </row>
    <row r="411" spans="11:26" x14ac:dyDescent="0.2">
      <c r="K411" s="167"/>
      <c r="L411" s="77"/>
      <c r="M411" s="169"/>
      <c r="N411" s="169"/>
      <c r="P411" s="7"/>
      <c r="Q411" s="94"/>
      <c r="R411" s="95"/>
      <c r="S411" s="95"/>
      <c r="T411" s="7"/>
      <c r="U411" s="7"/>
      <c r="V411" s="7"/>
      <c r="W411" s="7"/>
      <c r="X411" s="7"/>
      <c r="Z411" s="8" t="e">
        <f>VLOOKUP(M411,Personalização!$I$7:$J$16,2,FALSE)</f>
        <v>#N/A</v>
      </c>
    </row>
    <row r="412" spans="11:26" x14ac:dyDescent="0.2">
      <c r="K412" s="167"/>
      <c r="L412" s="77"/>
      <c r="M412" s="169"/>
      <c r="N412" s="169"/>
      <c r="P412" s="7"/>
      <c r="Q412" s="94"/>
      <c r="R412" s="95"/>
      <c r="S412" s="95"/>
      <c r="T412" s="7"/>
      <c r="U412" s="7"/>
      <c r="V412" s="7"/>
      <c r="W412" s="7"/>
      <c r="X412" s="7"/>
      <c r="Z412" s="8" t="e">
        <f>VLOOKUP(M412,Personalização!$I$7:$J$16,2,FALSE)</f>
        <v>#N/A</v>
      </c>
    </row>
    <row r="413" spans="11:26" x14ac:dyDescent="0.2">
      <c r="K413" s="167"/>
      <c r="L413" s="77"/>
      <c r="M413" s="169"/>
      <c r="N413" s="169"/>
      <c r="P413" s="7"/>
      <c r="Q413" s="94"/>
      <c r="R413" s="95"/>
      <c r="S413" s="95"/>
      <c r="T413" s="7"/>
      <c r="U413" s="7"/>
      <c r="V413" s="7"/>
      <c r="W413" s="7"/>
      <c r="X413" s="7"/>
      <c r="Z413" s="8" t="e">
        <f>VLOOKUP(M413,Personalização!$I$7:$J$16,2,FALSE)</f>
        <v>#N/A</v>
      </c>
    </row>
    <row r="414" spans="11:26" x14ac:dyDescent="0.2">
      <c r="K414" s="167"/>
      <c r="L414" s="77"/>
      <c r="M414" s="169"/>
      <c r="N414" s="169"/>
      <c r="P414" s="7"/>
      <c r="Q414" s="94"/>
      <c r="R414" s="95"/>
      <c r="S414" s="95"/>
      <c r="T414" s="7"/>
      <c r="U414" s="7"/>
      <c r="V414" s="7"/>
      <c r="W414" s="7"/>
      <c r="X414" s="7"/>
      <c r="Z414" s="8" t="e">
        <f>VLOOKUP(M414,Personalização!$I$7:$J$16,2,FALSE)</f>
        <v>#N/A</v>
      </c>
    </row>
    <row r="415" spans="11:26" x14ac:dyDescent="0.2">
      <c r="K415" s="167"/>
      <c r="L415" s="77"/>
      <c r="M415" s="169"/>
      <c r="N415" s="169"/>
      <c r="P415" s="7"/>
      <c r="Q415" s="94"/>
      <c r="R415" s="95"/>
      <c r="S415" s="95"/>
      <c r="T415" s="7"/>
      <c r="U415" s="7"/>
      <c r="V415" s="7"/>
      <c r="W415" s="7"/>
      <c r="X415" s="7"/>
      <c r="Z415" s="8" t="e">
        <f>VLOOKUP(M415,Personalização!$I$7:$J$16,2,FALSE)</f>
        <v>#N/A</v>
      </c>
    </row>
    <row r="416" spans="11:26" x14ac:dyDescent="0.2">
      <c r="K416" s="167"/>
      <c r="L416" s="77"/>
      <c r="M416" s="169"/>
      <c r="N416" s="169"/>
      <c r="P416" s="7"/>
      <c r="Q416" s="94"/>
      <c r="R416" s="95"/>
      <c r="S416" s="95"/>
      <c r="T416" s="7"/>
      <c r="U416" s="7"/>
      <c r="V416" s="7"/>
      <c r="W416" s="7"/>
      <c r="X416" s="7"/>
      <c r="Z416" s="8" t="e">
        <f>VLOOKUP(M416,Personalização!$I$7:$J$16,2,FALSE)</f>
        <v>#N/A</v>
      </c>
    </row>
    <row r="417" spans="11:26" x14ac:dyDescent="0.2">
      <c r="K417" s="167"/>
      <c r="L417" s="77"/>
      <c r="M417" s="169"/>
      <c r="N417" s="169"/>
      <c r="P417" s="7"/>
      <c r="Q417" s="94"/>
      <c r="R417" s="95"/>
      <c r="S417" s="95"/>
      <c r="T417" s="7"/>
      <c r="U417" s="7"/>
      <c r="V417" s="7"/>
      <c r="W417" s="7"/>
      <c r="X417" s="7"/>
      <c r="Z417" s="8" t="e">
        <f>VLOOKUP(M417,Personalização!$I$7:$J$16,2,FALSE)</f>
        <v>#N/A</v>
      </c>
    </row>
    <row r="418" spans="11:26" x14ac:dyDescent="0.2">
      <c r="K418" s="167"/>
      <c r="L418" s="77"/>
      <c r="M418" s="169"/>
      <c r="N418" s="169"/>
      <c r="P418" s="7"/>
      <c r="Q418" s="94"/>
      <c r="R418" s="95"/>
      <c r="S418" s="95"/>
      <c r="T418" s="7"/>
      <c r="U418" s="7"/>
      <c r="V418" s="7"/>
      <c r="W418" s="7"/>
      <c r="X418" s="7"/>
      <c r="Z418" s="8" t="e">
        <f>VLOOKUP(M418,Personalização!$I$7:$J$16,2,FALSE)</f>
        <v>#N/A</v>
      </c>
    </row>
    <row r="419" spans="11:26" x14ac:dyDescent="0.2">
      <c r="K419" s="167"/>
      <c r="L419" s="77"/>
      <c r="M419" s="169"/>
      <c r="N419" s="169"/>
      <c r="P419" s="7"/>
      <c r="Q419" s="94"/>
      <c r="R419" s="95"/>
      <c r="S419" s="95"/>
      <c r="T419" s="7"/>
      <c r="U419" s="7"/>
      <c r="V419" s="7"/>
      <c r="W419" s="7"/>
      <c r="X419" s="7"/>
      <c r="Z419" s="8" t="e">
        <f>VLOOKUP(M419,Personalização!$I$7:$J$16,2,FALSE)</f>
        <v>#N/A</v>
      </c>
    </row>
    <row r="420" spans="11:26" x14ac:dyDescent="0.2">
      <c r="K420" s="167"/>
      <c r="L420" s="77"/>
      <c r="M420" s="169"/>
      <c r="N420" s="169"/>
      <c r="P420" s="7"/>
      <c r="Q420" s="94"/>
      <c r="R420" s="95"/>
      <c r="S420" s="95"/>
      <c r="T420" s="7"/>
      <c r="U420" s="7"/>
      <c r="V420" s="7"/>
      <c r="W420" s="7"/>
      <c r="X420" s="7"/>
      <c r="Z420" s="8" t="e">
        <f>VLOOKUP(M420,Personalização!$I$7:$J$16,2,FALSE)</f>
        <v>#N/A</v>
      </c>
    </row>
    <row r="421" spans="11:26" x14ac:dyDescent="0.2">
      <c r="K421" s="167"/>
      <c r="L421" s="77"/>
      <c r="M421" s="169"/>
      <c r="N421" s="169"/>
      <c r="P421" s="7"/>
      <c r="Q421" s="94"/>
      <c r="R421" s="95"/>
      <c r="S421" s="95"/>
      <c r="T421" s="7"/>
      <c r="U421" s="7"/>
      <c r="V421" s="7"/>
      <c r="W421" s="7"/>
      <c r="X421" s="7"/>
      <c r="Z421" s="8" t="e">
        <f>VLOOKUP(M421,Personalização!$I$7:$J$16,2,FALSE)</f>
        <v>#N/A</v>
      </c>
    </row>
    <row r="422" spans="11:26" x14ac:dyDescent="0.2">
      <c r="K422" s="167"/>
      <c r="L422" s="77"/>
      <c r="M422" s="169"/>
      <c r="N422" s="169"/>
      <c r="P422" s="7"/>
      <c r="Q422" s="94"/>
      <c r="R422" s="95"/>
      <c r="S422" s="95"/>
      <c r="T422" s="7"/>
      <c r="U422" s="7"/>
      <c r="V422" s="7"/>
      <c r="W422" s="7"/>
      <c r="X422" s="7"/>
      <c r="Z422" s="8" t="e">
        <f>VLOOKUP(M422,Personalização!$I$7:$J$16,2,FALSE)</f>
        <v>#N/A</v>
      </c>
    </row>
    <row r="423" spans="11:26" x14ac:dyDescent="0.2">
      <c r="K423" s="167"/>
      <c r="L423" s="77"/>
      <c r="M423" s="169"/>
      <c r="N423" s="169"/>
      <c r="P423" s="7"/>
      <c r="Q423" s="94"/>
      <c r="R423" s="95"/>
      <c r="S423" s="95"/>
      <c r="T423" s="7"/>
      <c r="U423" s="7"/>
      <c r="V423" s="7"/>
      <c r="W423" s="7"/>
      <c r="X423" s="7"/>
      <c r="Z423" s="8" t="e">
        <f>VLOOKUP(M423,Personalização!$I$7:$J$16,2,FALSE)</f>
        <v>#N/A</v>
      </c>
    </row>
    <row r="424" spans="11:26" x14ac:dyDescent="0.2">
      <c r="K424" s="167"/>
      <c r="L424" s="77"/>
      <c r="M424" s="169"/>
      <c r="N424" s="169"/>
      <c r="P424" s="7"/>
      <c r="Q424" s="94"/>
      <c r="R424" s="95"/>
      <c r="S424" s="95"/>
      <c r="T424" s="7"/>
      <c r="U424" s="7"/>
      <c r="V424" s="7"/>
      <c r="W424" s="7"/>
      <c r="X424" s="7"/>
      <c r="Z424" s="8" t="e">
        <f>VLOOKUP(M424,Personalização!$I$7:$J$16,2,FALSE)</f>
        <v>#N/A</v>
      </c>
    </row>
    <row r="425" spans="11:26" x14ac:dyDescent="0.2">
      <c r="K425" s="167"/>
      <c r="L425" s="77"/>
      <c r="M425" s="169"/>
      <c r="N425" s="169"/>
      <c r="P425" s="7"/>
      <c r="Q425" s="94"/>
      <c r="R425" s="95"/>
      <c r="S425" s="95"/>
      <c r="T425" s="7"/>
      <c r="U425" s="7"/>
      <c r="V425" s="7"/>
      <c r="W425" s="7"/>
      <c r="X425" s="7"/>
      <c r="Z425" s="8" t="e">
        <f>VLOOKUP(M425,Personalização!$I$7:$J$16,2,FALSE)</f>
        <v>#N/A</v>
      </c>
    </row>
    <row r="426" spans="11:26" x14ac:dyDescent="0.2">
      <c r="K426" s="167"/>
      <c r="L426" s="77"/>
      <c r="M426" s="169"/>
      <c r="N426" s="169"/>
      <c r="P426" s="7"/>
      <c r="Q426" s="94"/>
      <c r="R426" s="95"/>
      <c r="S426" s="95"/>
      <c r="T426" s="7"/>
      <c r="U426" s="7"/>
      <c r="V426" s="7"/>
      <c r="W426" s="7"/>
      <c r="X426" s="7"/>
      <c r="Z426" s="8" t="e">
        <f>VLOOKUP(M426,Personalização!$I$7:$J$16,2,FALSE)</f>
        <v>#N/A</v>
      </c>
    </row>
    <row r="427" spans="11:26" x14ac:dyDescent="0.2">
      <c r="K427" s="167"/>
      <c r="L427" s="77"/>
      <c r="M427" s="169"/>
      <c r="N427" s="169"/>
      <c r="P427" s="7"/>
      <c r="Q427" s="94"/>
      <c r="R427" s="95"/>
      <c r="S427" s="95"/>
      <c r="T427" s="7"/>
      <c r="U427" s="7"/>
      <c r="V427" s="7"/>
      <c r="W427" s="7"/>
      <c r="X427" s="7"/>
      <c r="Z427" s="8" t="e">
        <f>VLOOKUP(M427,Personalização!$I$7:$J$16,2,FALSE)</f>
        <v>#N/A</v>
      </c>
    </row>
    <row r="428" spans="11:26" x14ac:dyDescent="0.2">
      <c r="K428" s="167"/>
      <c r="L428" s="77"/>
      <c r="M428" s="169"/>
      <c r="N428" s="169"/>
      <c r="P428" s="7"/>
      <c r="Q428" s="94"/>
      <c r="R428" s="95"/>
      <c r="S428" s="95"/>
      <c r="T428" s="7"/>
      <c r="U428" s="7"/>
      <c r="V428" s="7"/>
      <c r="W428" s="7"/>
      <c r="X428" s="7"/>
      <c r="Z428" s="8" t="e">
        <f>VLOOKUP(M428,Personalização!$I$7:$J$16,2,FALSE)</f>
        <v>#N/A</v>
      </c>
    </row>
    <row r="429" spans="11:26" x14ac:dyDescent="0.2">
      <c r="K429" s="167"/>
      <c r="L429" s="77"/>
      <c r="M429" s="169"/>
      <c r="N429" s="169"/>
      <c r="P429" s="7"/>
      <c r="Q429" s="94"/>
      <c r="R429" s="95"/>
      <c r="S429" s="95"/>
      <c r="T429" s="7"/>
      <c r="U429" s="7"/>
      <c r="V429" s="7"/>
      <c r="W429" s="7"/>
      <c r="X429" s="7"/>
      <c r="Z429" s="8" t="e">
        <f>VLOOKUP(M429,Personalização!$I$7:$J$16,2,FALSE)</f>
        <v>#N/A</v>
      </c>
    </row>
    <row r="430" spans="11:26" x14ac:dyDescent="0.2">
      <c r="K430" s="167"/>
      <c r="L430" s="77"/>
      <c r="M430" s="169"/>
      <c r="N430" s="169"/>
      <c r="P430" s="7"/>
      <c r="Q430" s="94"/>
      <c r="R430" s="95"/>
      <c r="S430" s="95"/>
      <c r="T430" s="7"/>
      <c r="U430" s="7"/>
      <c r="V430" s="7"/>
      <c r="W430" s="7"/>
      <c r="X430" s="7"/>
      <c r="Z430" s="8" t="e">
        <f>VLOOKUP(M430,Personalização!$I$7:$J$16,2,FALSE)</f>
        <v>#N/A</v>
      </c>
    </row>
    <row r="431" spans="11:26" x14ac:dyDescent="0.2">
      <c r="K431" s="167"/>
      <c r="L431" s="77"/>
      <c r="M431" s="169"/>
      <c r="N431" s="169"/>
      <c r="P431" s="7"/>
      <c r="Q431" s="94"/>
      <c r="R431" s="95"/>
      <c r="S431" s="95"/>
      <c r="T431" s="7"/>
      <c r="U431" s="7"/>
      <c r="V431" s="7"/>
      <c r="W431" s="7"/>
      <c r="X431" s="7"/>
      <c r="Z431" s="8" t="e">
        <f>VLOOKUP(M431,Personalização!$I$7:$J$16,2,FALSE)</f>
        <v>#N/A</v>
      </c>
    </row>
    <row r="432" spans="11:26" x14ac:dyDescent="0.2">
      <c r="K432" s="167"/>
      <c r="L432" s="77"/>
      <c r="M432" s="169"/>
      <c r="N432" s="169"/>
      <c r="P432" s="7"/>
      <c r="Q432" s="94"/>
      <c r="R432" s="95"/>
      <c r="S432" s="95"/>
      <c r="T432" s="7"/>
      <c r="U432" s="7"/>
      <c r="V432" s="7"/>
      <c r="W432" s="7"/>
      <c r="X432" s="7"/>
      <c r="Z432" s="8" t="e">
        <f>VLOOKUP(M432,Personalização!$I$7:$J$16,2,FALSE)</f>
        <v>#N/A</v>
      </c>
    </row>
    <row r="433" spans="11:26" x14ac:dyDescent="0.2">
      <c r="K433" s="167"/>
      <c r="L433" s="77"/>
      <c r="M433" s="169"/>
      <c r="N433" s="169"/>
      <c r="P433" s="7"/>
      <c r="Q433" s="94"/>
      <c r="R433" s="95"/>
      <c r="S433" s="95"/>
      <c r="T433" s="7"/>
      <c r="U433" s="7"/>
      <c r="V433" s="7"/>
      <c r="W433" s="7"/>
      <c r="X433" s="7"/>
      <c r="Z433" s="8" t="e">
        <f>VLOOKUP(M433,Personalização!$I$7:$J$16,2,FALSE)</f>
        <v>#N/A</v>
      </c>
    </row>
    <row r="434" spans="11:26" x14ac:dyDescent="0.2">
      <c r="K434" s="167"/>
      <c r="L434" s="77"/>
      <c r="M434" s="169"/>
      <c r="N434" s="169"/>
      <c r="P434" s="7"/>
      <c r="Q434" s="94"/>
      <c r="R434" s="95"/>
      <c r="S434" s="95"/>
      <c r="T434" s="7"/>
      <c r="U434" s="7"/>
      <c r="V434" s="7"/>
      <c r="W434" s="7"/>
      <c r="X434" s="7"/>
      <c r="Z434" s="8" t="e">
        <f>VLOOKUP(M434,Personalização!$I$7:$J$16,2,FALSE)</f>
        <v>#N/A</v>
      </c>
    </row>
    <row r="435" spans="11:26" x14ac:dyDescent="0.2">
      <c r="K435" s="167"/>
      <c r="L435" s="77"/>
      <c r="M435" s="169"/>
      <c r="N435" s="169"/>
      <c r="P435" s="7"/>
      <c r="Q435" s="94"/>
      <c r="R435" s="95"/>
      <c r="S435" s="95"/>
      <c r="T435" s="7"/>
      <c r="U435" s="7"/>
      <c r="V435" s="7"/>
      <c r="W435" s="7"/>
      <c r="X435" s="7"/>
      <c r="Z435" s="8" t="e">
        <f>VLOOKUP(M435,Personalização!$I$7:$J$16,2,FALSE)</f>
        <v>#N/A</v>
      </c>
    </row>
    <row r="436" spans="11:26" x14ac:dyDescent="0.2">
      <c r="K436" s="167"/>
      <c r="L436" s="77"/>
      <c r="M436" s="169"/>
      <c r="N436" s="169"/>
      <c r="P436" s="7"/>
      <c r="Q436" s="94"/>
      <c r="R436" s="95"/>
      <c r="S436" s="95"/>
      <c r="T436" s="7"/>
      <c r="U436" s="7"/>
      <c r="V436" s="7"/>
      <c r="W436" s="7"/>
      <c r="X436" s="7"/>
      <c r="Z436" s="8" t="e">
        <f>VLOOKUP(M436,Personalização!$I$7:$J$16,2,FALSE)</f>
        <v>#N/A</v>
      </c>
    </row>
    <row r="437" spans="11:26" x14ac:dyDescent="0.2">
      <c r="K437" s="167"/>
      <c r="L437" s="77"/>
      <c r="M437" s="169"/>
      <c r="N437" s="169"/>
      <c r="P437" s="7"/>
      <c r="Q437" s="94"/>
      <c r="R437" s="95"/>
      <c r="S437" s="95"/>
      <c r="T437" s="7"/>
      <c r="U437" s="7"/>
      <c r="V437" s="7"/>
      <c r="W437" s="7"/>
      <c r="X437" s="7"/>
      <c r="Z437" s="8" t="e">
        <f>VLOOKUP(M437,Personalização!$I$7:$J$16,2,FALSE)</f>
        <v>#N/A</v>
      </c>
    </row>
    <row r="438" spans="11:26" x14ac:dyDescent="0.2">
      <c r="K438" s="167"/>
      <c r="L438" s="77"/>
      <c r="M438" s="169"/>
      <c r="N438" s="169"/>
      <c r="P438" s="7"/>
      <c r="Q438" s="94"/>
      <c r="R438" s="95"/>
      <c r="S438" s="95"/>
      <c r="T438" s="7"/>
      <c r="U438" s="7"/>
      <c r="V438" s="7"/>
      <c r="W438" s="7"/>
      <c r="X438" s="7"/>
      <c r="Z438" s="8" t="e">
        <f>VLOOKUP(M438,Personalização!$I$7:$J$16,2,FALSE)</f>
        <v>#N/A</v>
      </c>
    </row>
    <row r="439" spans="11:26" x14ac:dyDescent="0.2">
      <c r="K439" s="167"/>
      <c r="L439" s="77"/>
      <c r="M439" s="169"/>
      <c r="N439" s="169"/>
      <c r="P439" s="7"/>
      <c r="Q439" s="94"/>
      <c r="R439" s="95"/>
      <c r="S439" s="95"/>
      <c r="T439" s="7"/>
      <c r="U439" s="7"/>
      <c r="V439" s="7"/>
      <c r="W439" s="7"/>
      <c r="X439" s="7"/>
      <c r="Z439" s="8" t="e">
        <f>VLOOKUP(M439,Personalização!$I$7:$J$16,2,FALSE)</f>
        <v>#N/A</v>
      </c>
    </row>
    <row r="440" spans="11:26" x14ac:dyDescent="0.2">
      <c r="K440" s="167"/>
      <c r="L440" s="77"/>
      <c r="M440" s="169"/>
      <c r="N440" s="169"/>
      <c r="P440" s="7"/>
      <c r="Q440" s="94"/>
      <c r="R440" s="95"/>
      <c r="S440" s="95"/>
      <c r="T440" s="7"/>
      <c r="U440" s="7"/>
      <c r="V440" s="7"/>
      <c r="W440" s="7"/>
      <c r="X440" s="7"/>
      <c r="Z440" s="8" t="e">
        <f>VLOOKUP(M440,Personalização!$I$7:$J$16,2,FALSE)</f>
        <v>#N/A</v>
      </c>
    </row>
    <row r="441" spans="11:26" x14ac:dyDescent="0.2">
      <c r="K441" s="167"/>
      <c r="L441" s="77"/>
      <c r="M441" s="169"/>
      <c r="N441" s="169"/>
      <c r="P441" s="7"/>
      <c r="Q441" s="94"/>
      <c r="R441" s="95"/>
      <c r="S441" s="95"/>
      <c r="T441" s="7"/>
      <c r="U441" s="7"/>
      <c r="V441" s="7"/>
      <c r="W441" s="7"/>
      <c r="X441" s="7"/>
      <c r="Z441" s="8" t="e">
        <f>VLOOKUP(M441,Personalização!$I$7:$J$16,2,FALSE)</f>
        <v>#N/A</v>
      </c>
    </row>
    <row r="442" spans="11:26" x14ac:dyDescent="0.2">
      <c r="K442" s="167"/>
      <c r="L442" s="77"/>
      <c r="M442" s="169"/>
      <c r="N442" s="169"/>
      <c r="P442" s="7"/>
      <c r="Q442" s="94"/>
      <c r="R442" s="95"/>
      <c r="S442" s="95"/>
      <c r="T442" s="7"/>
      <c r="U442" s="7"/>
      <c r="V442" s="7"/>
      <c r="W442" s="7"/>
      <c r="X442" s="7"/>
      <c r="Z442" s="8" t="e">
        <f>VLOOKUP(M442,Personalização!$I$7:$J$16,2,FALSE)</f>
        <v>#N/A</v>
      </c>
    </row>
    <row r="443" spans="11:26" x14ac:dyDescent="0.2">
      <c r="K443" s="167"/>
      <c r="L443" s="77"/>
      <c r="M443" s="169"/>
      <c r="N443" s="169"/>
      <c r="P443" s="7"/>
      <c r="Q443" s="94"/>
      <c r="R443" s="95"/>
      <c r="S443" s="95"/>
      <c r="T443" s="7"/>
      <c r="U443" s="7"/>
      <c r="V443" s="7"/>
      <c r="W443" s="7"/>
      <c r="X443" s="7"/>
      <c r="Z443" s="8" t="e">
        <f>VLOOKUP(M443,Personalização!$I$7:$J$16,2,FALSE)</f>
        <v>#N/A</v>
      </c>
    </row>
    <row r="444" spans="11:26" x14ac:dyDescent="0.2">
      <c r="K444" s="167"/>
      <c r="L444" s="77"/>
      <c r="M444" s="169"/>
      <c r="N444" s="169"/>
      <c r="P444" s="7"/>
      <c r="Q444" s="94"/>
      <c r="R444" s="95"/>
      <c r="S444" s="95"/>
      <c r="T444" s="7"/>
      <c r="U444" s="7"/>
      <c r="V444" s="7"/>
      <c r="W444" s="7"/>
      <c r="X444" s="7"/>
      <c r="Z444" s="8" t="e">
        <f>VLOOKUP(M444,Personalização!$I$7:$J$16,2,FALSE)</f>
        <v>#N/A</v>
      </c>
    </row>
    <row r="445" spans="11:26" x14ac:dyDescent="0.2">
      <c r="K445" s="167"/>
      <c r="L445" s="77"/>
      <c r="M445" s="169"/>
      <c r="N445" s="169"/>
      <c r="P445" s="7"/>
      <c r="Q445" s="94"/>
      <c r="R445" s="95"/>
      <c r="S445" s="95"/>
      <c r="T445" s="7"/>
      <c r="U445" s="7"/>
      <c r="V445" s="7"/>
      <c r="W445" s="7"/>
      <c r="X445" s="7"/>
      <c r="Z445" s="8" t="e">
        <f>VLOOKUP(M445,Personalização!$I$7:$J$16,2,FALSE)</f>
        <v>#N/A</v>
      </c>
    </row>
    <row r="446" spans="11:26" x14ac:dyDescent="0.2">
      <c r="K446" s="167"/>
      <c r="L446" s="77"/>
      <c r="M446" s="169"/>
      <c r="N446" s="169"/>
      <c r="P446" s="7"/>
      <c r="Q446" s="94"/>
      <c r="R446" s="95"/>
      <c r="S446" s="95"/>
      <c r="T446" s="7"/>
      <c r="U446" s="7"/>
      <c r="V446" s="7"/>
      <c r="W446" s="7"/>
      <c r="X446" s="7"/>
      <c r="Z446" s="8" t="e">
        <f>VLOOKUP(M446,Personalização!$I$7:$J$16,2,FALSE)</f>
        <v>#N/A</v>
      </c>
    </row>
    <row r="447" spans="11:26" x14ac:dyDescent="0.2">
      <c r="K447" s="167"/>
      <c r="L447" s="77"/>
      <c r="M447" s="169"/>
      <c r="N447" s="169"/>
      <c r="P447" s="7"/>
      <c r="Q447" s="94"/>
      <c r="R447" s="95"/>
      <c r="S447" s="95"/>
      <c r="T447" s="7"/>
      <c r="U447" s="7"/>
      <c r="V447" s="7"/>
      <c r="W447" s="7"/>
      <c r="X447" s="7"/>
      <c r="Z447" s="8" t="e">
        <f>VLOOKUP(M447,Personalização!$I$7:$J$16,2,FALSE)</f>
        <v>#N/A</v>
      </c>
    </row>
    <row r="448" spans="11:26" x14ac:dyDescent="0.2">
      <c r="K448" s="167"/>
      <c r="L448" s="77"/>
      <c r="M448" s="169"/>
      <c r="N448" s="169"/>
      <c r="P448" s="7"/>
      <c r="Q448" s="94"/>
      <c r="R448" s="95"/>
      <c r="S448" s="95"/>
      <c r="T448" s="7"/>
      <c r="U448" s="7"/>
      <c r="V448" s="7"/>
      <c r="W448" s="7"/>
      <c r="X448" s="7"/>
      <c r="Z448" s="8" t="e">
        <f>VLOOKUP(M448,Personalização!$I$7:$J$16,2,FALSE)</f>
        <v>#N/A</v>
      </c>
    </row>
    <row r="449" spans="11:26" x14ac:dyDescent="0.2">
      <c r="K449" s="167"/>
      <c r="L449" s="77"/>
      <c r="M449" s="169"/>
      <c r="N449" s="169"/>
      <c r="P449" s="7"/>
      <c r="Q449" s="94"/>
      <c r="R449" s="95"/>
      <c r="S449" s="95"/>
      <c r="T449" s="7"/>
      <c r="U449" s="7"/>
      <c r="V449" s="7"/>
      <c r="W449" s="7"/>
      <c r="X449" s="7"/>
      <c r="Z449" s="8" t="e">
        <f>VLOOKUP(M449,Personalização!$I$7:$J$16,2,FALSE)</f>
        <v>#N/A</v>
      </c>
    </row>
    <row r="450" spans="11:26" x14ac:dyDescent="0.2">
      <c r="K450" s="167"/>
      <c r="L450" s="77"/>
      <c r="M450" s="169"/>
      <c r="N450" s="169"/>
      <c r="P450" s="7"/>
      <c r="Q450" s="94"/>
      <c r="R450" s="95"/>
      <c r="S450" s="95"/>
      <c r="T450" s="7"/>
      <c r="U450" s="7"/>
      <c r="V450" s="7"/>
      <c r="W450" s="7"/>
      <c r="X450" s="7"/>
      <c r="Z450" s="8" t="e">
        <f>VLOOKUP(M450,Personalização!$I$7:$J$16,2,FALSE)</f>
        <v>#N/A</v>
      </c>
    </row>
    <row r="451" spans="11:26" x14ac:dyDescent="0.2">
      <c r="K451" s="167"/>
      <c r="L451" s="77"/>
      <c r="M451" s="169"/>
      <c r="N451" s="169"/>
      <c r="P451" s="7"/>
      <c r="Q451" s="94"/>
      <c r="R451" s="95"/>
      <c r="S451" s="95"/>
      <c r="T451" s="7"/>
      <c r="U451" s="7"/>
      <c r="V451" s="7"/>
      <c r="W451" s="7"/>
      <c r="X451" s="7"/>
      <c r="Z451" s="8" t="e">
        <f>VLOOKUP(M451,Personalização!$I$7:$J$16,2,FALSE)</f>
        <v>#N/A</v>
      </c>
    </row>
    <row r="452" spans="11:26" x14ac:dyDescent="0.2">
      <c r="K452" s="167"/>
      <c r="L452" s="77"/>
      <c r="M452" s="169"/>
      <c r="N452" s="169"/>
      <c r="P452" s="7"/>
      <c r="Q452" s="94"/>
      <c r="R452" s="95"/>
      <c r="S452" s="95"/>
      <c r="T452" s="7"/>
      <c r="U452" s="7"/>
      <c r="V452" s="7"/>
      <c r="W452" s="7"/>
      <c r="X452" s="7"/>
      <c r="Z452" s="8" t="e">
        <f>VLOOKUP(M452,Personalização!$I$7:$J$16,2,FALSE)</f>
        <v>#N/A</v>
      </c>
    </row>
    <row r="453" spans="11:26" x14ac:dyDescent="0.2">
      <c r="K453" s="167"/>
      <c r="L453" s="77"/>
      <c r="M453" s="169"/>
      <c r="N453" s="169"/>
      <c r="P453" s="7"/>
      <c r="Q453" s="94"/>
      <c r="R453" s="95"/>
      <c r="S453" s="95"/>
      <c r="T453" s="7"/>
      <c r="U453" s="7"/>
      <c r="V453" s="7"/>
      <c r="W453" s="7"/>
      <c r="X453" s="7"/>
      <c r="Z453" s="8" t="e">
        <f>VLOOKUP(M453,Personalização!$I$7:$J$16,2,FALSE)</f>
        <v>#N/A</v>
      </c>
    </row>
    <row r="454" spans="11:26" x14ac:dyDescent="0.2">
      <c r="K454" s="167"/>
      <c r="L454" s="77"/>
      <c r="M454" s="169"/>
      <c r="N454" s="169"/>
      <c r="P454" s="7"/>
      <c r="Q454" s="94"/>
      <c r="R454" s="95"/>
      <c r="S454" s="95"/>
      <c r="T454" s="7"/>
      <c r="U454" s="7"/>
      <c r="V454" s="7"/>
      <c r="W454" s="7"/>
      <c r="X454" s="7"/>
      <c r="Z454" s="8" t="e">
        <f>VLOOKUP(M454,Personalização!$I$7:$J$16,2,FALSE)</f>
        <v>#N/A</v>
      </c>
    </row>
    <row r="455" spans="11:26" x14ac:dyDescent="0.2">
      <c r="K455" s="167"/>
      <c r="L455" s="77"/>
      <c r="M455" s="169"/>
      <c r="N455" s="169"/>
      <c r="P455" s="7"/>
      <c r="Q455" s="94"/>
      <c r="R455" s="95"/>
      <c r="S455" s="95"/>
      <c r="T455" s="7"/>
      <c r="U455" s="7"/>
      <c r="V455" s="7"/>
      <c r="W455" s="7"/>
      <c r="X455" s="7"/>
      <c r="Z455" s="8" t="e">
        <f>VLOOKUP(M455,Personalização!$I$7:$J$16,2,FALSE)</f>
        <v>#N/A</v>
      </c>
    </row>
    <row r="456" spans="11:26" x14ac:dyDescent="0.2">
      <c r="K456" s="167"/>
      <c r="L456" s="77"/>
      <c r="M456" s="169"/>
      <c r="N456" s="169"/>
      <c r="P456" s="7"/>
      <c r="Q456" s="94"/>
      <c r="R456" s="95"/>
      <c r="S456" s="95"/>
      <c r="T456" s="7"/>
      <c r="U456" s="7"/>
      <c r="V456" s="7"/>
      <c r="W456" s="7"/>
      <c r="X456" s="7"/>
      <c r="Z456" s="8" t="e">
        <f>VLOOKUP(M456,Personalização!$I$7:$J$16,2,FALSE)</f>
        <v>#N/A</v>
      </c>
    </row>
    <row r="457" spans="11:26" x14ac:dyDescent="0.2">
      <c r="K457" s="167"/>
      <c r="L457" s="77"/>
      <c r="M457" s="169"/>
      <c r="N457" s="169"/>
      <c r="P457" s="7"/>
      <c r="Q457" s="94"/>
      <c r="R457" s="95"/>
      <c r="S457" s="95"/>
      <c r="T457" s="7"/>
      <c r="U457" s="7"/>
      <c r="V457" s="7"/>
      <c r="W457" s="7"/>
      <c r="X457" s="7"/>
      <c r="Z457" s="8" t="e">
        <f>VLOOKUP(M457,Personalização!$I$7:$J$16,2,FALSE)</f>
        <v>#N/A</v>
      </c>
    </row>
    <row r="458" spans="11:26" x14ac:dyDescent="0.2">
      <c r="K458" s="167"/>
      <c r="L458" s="77"/>
      <c r="M458" s="169"/>
      <c r="N458" s="169"/>
      <c r="P458" s="7"/>
      <c r="Q458" s="94"/>
      <c r="R458" s="95"/>
      <c r="S458" s="95"/>
      <c r="T458" s="7"/>
      <c r="U458" s="7"/>
      <c r="V458" s="7"/>
      <c r="W458" s="7"/>
      <c r="X458" s="7"/>
      <c r="Z458" s="8" t="e">
        <f>VLOOKUP(M458,Personalização!$I$7:$J$16,2,FALSE)</f>
        <v>#N/A</v>
      </c>
    </row>
    <row r="459" spans="11:26" x14ac:dyDescent="0.2">
      <c r="K459" s="167"/>
      <c r="L459" s="77"/>
      <c r="M459" s="169"/>
      <c r="N459" s="169"/>
      <c r="P459" s="7"/>
      <c r="Q459" s="94"/>
      <c r="R459" s="95"/>
      <c r="S459" s="95"/>
      <c r="T459" s="7"/>
      <c r="U459" s="7"/>
      <c r="V459" s="7"/>
      <c r="W459" s="7"/>
      <c r="X459" s="7"/>
      <c r="Z459" s="8" t="e">
        <f>VLOOKUP(M459,Personalização!$I$7:$J$16,2,FALSE)</f>
        <v>#N/A</v>
      </c>
    </row>
    <row r="460" spans="11:26" x14ac:dyDescent="0.2">
      <c r="K460" s="167"/>
      <c r="L460" s="77"/>
      <c r="M460" s="169"/>
      <c r="N460" s="169"/>
      <c r="P460" s="7"/>
      <c r="Q460" s="94"/>
      <c r="R460" s="95"/>
      <c r="S460" s="95"/>
      <c r="T460" s="7"/>
      <c r="U460" s="7"/>
      <c r="V460" s="7"/>
      <c r="W460" s="7"/>
      <c r="X460" s="7"/>
      <c r="Z460" s="8" t="e">
        <f>VLOOKUP(M460,Personalização!$I$7:$J$16,2,FALSE)</f>
        <v>#N/A</v>
      </c>
    </row>
    <row r="461" spans="11:26" x14ac:dyDescent="0.2">
      <c r="K461" s="167"/>
      <c r="L461" s="77"/>
      <c r="M461" s="169"/>
      <c r="N461" s="169"/>
      <c r="P461" s="7"/>
      <c r="Q461" s="94"/>
      <c r="R461" s="95"/>
      <c r="S461" s="95"/>
      <c r="T461" s="7"/>
      <c r="U461" s="7"/>
      <c r="V461" s="7"/>
      <c r="W461" s="7"/>
      <c r="X461" s="7"/>
      <c r="Z461" s="8" t="e">
        <f>VLOOKUP(M461,Personalização!$I$7:$J$16,2,FALSE)</f>
        <v>#N/A</v>
      </c>
    </row>
    <row r="462" spans="11:26" x14ac:dyDescent="0.2">
      <c r="K462" s="167"/>
      <c r="L462" s="77"/>
      <c r="M462" s="169"/>
      <c r="N462" s="169"/>
      <c r="P462" s="7"/>
      <c r="Q462" s="94"/>
      <c r="R462" s="95"/>
      <c r="S462" s="95"/>
      <c r="T462" s="7"/>
      <c r="U462" s="7"/>
      <c r="V462" s="7"/>
      <c r="W462" s="7"/>
      <c r="X462" s="7"/>
      <c r="Z462" s="8" t="e">
        <f>VLOOKUP(M462,Personalização!$I$7:$J$16,2,FALSE)</f>
        <v>#N/A</v>
      </c>
    </row>
    <row r="463" spans="11:26" x14ac:dyDescent="0.2">
      <c r="K463" s="167"/>
      <c r="L463" s="77"/>
      <c r="M463" s="169"/>
      <c r="N463" s="169"/>
      <c r="P463" s="7"/>
      <c r="Q463" s="94"/>
      <c r="R463" s="95"/>
      <c r="S463" s="95"/>
      <c r="T463" s="7"/>
      <c r="U463" s="7"/>
      <c r="V463" s="7"/>
      <c r="W463" s="7"/>
      <c r="X463" s="7"/>
      <c r="Z463" s="8" t="e">
        <f>VLOOKUP(M463,Personalização!$I$7:$J$16,2,FALSE)</f>
        <v>#N/A</v>
      </c>
    </row>
    <row r="464" spans="11:26" x14ac:dyDescent="0.2">
      <c r="K464" s="167"/>
      <c r="L464" s="77"/>
      <c r="M464" s="169"/>
      <c r="N464" s="169"/>
      <c r="P464" s="7"/>
      <c r="Q464" s="94"/>
      <c r="R464" s="95"/>
      <c r="S464" s="95"/>
      <c r="T464" s="7"/>
      <c r="U464" s="7"/>
      <c r="V464" s="7"/>
      <c r="W464" s="7"/>
      <c r="X464" s="7"/>
      <c r="Z464" s="8" t="e">
        <f>VLOOKUP(M464,Personalização!$I$7:$J$16,2,FALSE)</f>
        <v>#N/A</v>
      </c>
    </row>
    <row r="465" spans="11:26" x14ac:dyDescent="0.2">
      <c r="K465" s="167"/>
      <c r="L465" s="77"/>
      <c r="M465" s="169"/>
      <c r="N465" s="169"/>
      <c r="P465" s="7"/>
      <c r="Q465" s="94"/>
      <c r="R465" s="95"/>
      <c r="S465" s="95"/>
      <c r="T465" s="7"/>
      <c r="U465" s="7"/>
      <c r="V465" s="7"/>
      <c r="W465" s="7"/>
      <c r="X465" s="7"/>
      <c r="Z465" s="8" t="e">
        <f>VLOOKUP(M465,Personalização!$I$7:$J$16,2,FALSE)</f>
        <v>#N/A</v>
      </c>
    </row>
    <row r="466" spans="11:26" x14ac:dyDescent="0.2">
      <c r="K466" s="167"/>
      <c r="L466" s="77"/>
      <c r="M466" s="169"/>
      <c r="N466" s="169"/>
      <c r="P466" s="7"/>
      <c r="Q466" s="94"/>
      <c r="R466" s="95"/>
      <c r="S466" s="95"/>
      <c r="T466" s="7"/>
      <c r="U466" s="7"/>
      <c r="V466" s="7"/>
      <c r="W466" s="7"/>
      <c r="X466" s="7"/>
      <c r="Z466" s="8" t="e">
        <f>VLOOKUP(M466,Personalização!$I$7:$J$16,2,FALSE)</f>
        <v>#N/A</v>
      </c>
    </row>
    <row r="467" spans="11:26" x14ac:dyDescent="0.2">
      <c r="K467" s="167"/>
      <c r="L467" s="77"/>
      <c r="M467" s="169"/>
      <c r="N467" s="169"/>
      <c r="P467" s="7"/>
      <c r="Q467" s="94"/>
      <c r="R467" s="95"/>
      <c r="S467" s="95"/>
      <c r="T467" s="7"/>
      <c r="U467" s="7"/>
      <c r="V467" s="7"/>
      <c r="W467" s="7"/>
      <c r="X467" s="7"/>
      <c r="Z467" s="8" t="e">
        <f>VLOOKUP(M467,Personalização!$I$7:$J$16,2,FALSE)</f>
        <v>#N/A</v>
      </c>
    </row>
    <row r="468" spans="11:26" x14ac:dyDescent="0.2">
      <c r="K468" s="167"/>
      <c r="L468" s="77"/>
      <c r="M468" s="169"/>
      <c r="N468" s="169"/>
      <c r="P468" s="7"/>
      <c r="Q468" s="94"/>
      <c r="R468" s="95"/>
      <c r="S468" s="95"/>
      <c r="T468" s="7"/>
      <c r="U468" s="7"/>
      <c r="V468" s="7"/>
      <c r="W468" s="7"/>
      <c r="X468" s="7"/>
      <c r="Z468" s="8" t="e">
        <f>VLOOKUP(M468,Personalização!$I$7:$J$16,2,FALSE)</f>
        <v>#N/A</v>
      </c>
    </row>
    <row r="469" spans="11:26" x14ac:dyDescent="0.2">
      <c r="K469" s="167"/>
      <c r="L469" s="77"/>
      <c r="M469" s="169"/>
      <c r="N469" s="169"/>
      <c r="P469" s="7"/>
      <c r="Q469" s="94"/>
      <c r="R469" s="95"/>
      <c r="S469" s="95"/>
      <c r="T469" s="7"/>
      <c r="U469" s="7"/>
      <c r="V469" s="7"/>
      <c r="W469" s="7"/>
      <c r="X469" s="7"/>
      <c r="Z469" s="8" t="e">
        <f>VLOOKUP(M469,Personalização!$I$7:$J$16,2,FALSE)</f>
        <v>#N/A</v>
      </c>
    </row>
    <row r="470" spans="11:26" x14ac:dyDescent="0.2">
      <c r="K470" s="167"/>
      <c r="L470" s="77"/>
      <c r="M470" s="169"/>
      <c r="N470" s="169"/>
      <c r="P470" s="7"/>
      <c r="Q470" s="94"/>
      <c r="R470" s="95"/>
      <c r="S470" s="95"/>
      <c r="T470" s="7"/>
      <c r="U470" s="7"/>
      <c r="V470" s="7"/>
      <c r="W470" s="7"/>
      <c r="X470" s="7"/>
      <c r="Z470" s="8" t="e">
        <f>VLOOKUP(M470,Personalização!$I$7:$J$16,2,FALSE)</f>
        <v>#N/A</v>
      </c>
    </row>
    <row r="471" spans="11:26" x14ac:dyDescent="0.2">
      <c r="K471" s="167"/>
      <c r="L471" s="77"/>
      <c r="M471" s="169"/>
      <c r="N471" s="169"/>
      <c r="P471" s="7"/>
      <c r="Q471" s="94"/>
      <c r="R471" s="95"/>
      <c r="S471" s="95"/>
      <c r="T471" s="7"/>
      <c r="U471" s="7"/>
      <c r="V471" s="7"/>
      <c r="W471" s="7"/>
      <c r="X471" s="7"/>
      <c r="Z471" s="8" t="e">
        <f>VLOOKUP(M471,Personalização!$I$7:$J$16,2,FALSE)</f>
        <v>#N/A</v>
      </c>
    </row>
    <row r="472" spans="11:26" x14ac:dyDescent="0.2">
      <c r="K472" s="167"/>
      <c r="L472" s="77"/>
      <c r="M472" s="169"/>
      <c r="N472" s="169"/>
      <c r="P472" s="7"/>
      <c r="Q472" s="94"/>
      <c r="R472" s="95"/>
      <c r="S472" s="95"/>
      <c r="T472" s="7"/>
      <c r="U472" s="7"/>
      <c r="V472" s="7"/>
      <c r="W472" s="7"/>
      <c r="X472" s="7"/>
      <c r="Z472" s="8" t="e">
        <f>VLOOKUP(M472,Personalização!$I$7:$J$16,2,FALSE)</f>
        <v>#N/A</v>
      </c>
    </row>
    <row r="473" spans="11:26" x14ac:dyDescent="0.2">
      <c r="K473" s="167"/>
      <c r="L473" s="77"/>
      <c r="M473" s="169"/>
      <c r="N473" s="169"/>
      <c r="P473" s="7"/>
      <c r="Q473" s="94"/>
      <c r="R473" s="95"/>
      <c r="S473" s="95"/>
      <c r="T473" s="7"/>
      <c r="U473" s="7"/>
      <c r="V473" s="7"/>
      <c r="W473" s="7"/>
      <c r="X473" s="7"/>
      <c r="Z473" s="8" t="e">
        <f>VLOOKUP(M473,Personalização!$I$7:$J$16,2,FALSE)</f>
        <v>#N/A</v>
      </c>
    </row>
    <row r="474" spans="11:26" x14ac:dyDescent="0.2">
      <c r="K474" s="167"/>
      <c r="L474" s="77"/>
      <c r="M474" s="169"/>
      <c r="N474" s="169"/>
      <c r="P474" s="7"/>
      <c r="Q474" s="94"/>
      <c r="R474" s="95"/>
      <c r="S474" s="95"/>
      <c r="T474" s="7"/>
      <c r="U474" s="7"/>
      <c r="V474" s="7"/>
      <c r="W474" s="7"/>
      <c r="X474" s="7"/>
      <c r="Z474" s="8" t="e">
        <f>VLOOKUP(M474,Personalização!$I$7:$J$16,2,FALSE)</f>
        <v>#N/A</v>
      </c>
    </row>
    <row r="475" spans="11:26" x14ac:dyDescent="0.2">
      <c r="K475" s="167"/>
      <c r="L475" s="77"/>
      <c r="M475" s="169"/>
      <c r="N475" s="169"/>
      <c r="P475" s="7"/>
      <c r="Q475" s="94"/>
      <c r="R475" s="95"/>
      <c r="S475" s="95"/>
      <c r="T475" s="7"/>
      <c r="U475" s="7"/>
      <c r="V475" s="7"/>
      <c r="W475" s="7"/>
      <c r="X475" s="7"/>
      <c r="Z475" s="8" t="e">
        <f>VLOOKUP(M475,Personalização!$I$7:$J$16,2,FALSE)</f>
        <v>#N/A</v>
      </c>
    </row>
    <row r="476" spans="11:26" x14ac:dyDescent="0.2">
      <c r="K476" s="167"/>
      <c r="L476" s="77"/>
      <c r="M476" s="169"/>
      <c r="N476" s="169"/>
      <c r="P476" s="7"/>
      <c r="Q476" s="94"/>
      <c r="R476" s="95"/>
      <c r="S476" s="95"/>
      <c r="T476" s="7"/>
      <c r="U476" s="7"/>
      <c r="V476" s="7"/>
      <c r="W476" s="7"/>
      <c r="X476" s="7"/>
      <c r="Z476" s="8" t="e">
        <f>VLOOKUP(M476,Personalização!$I$7:$J$16,2,FALSE)</f>
        <v>#N/A</v>
      </c>
    </row>
    <row r="477" spans="11:26" x14ac:dyDescent="0.2">
      <c r="K477" s="167"/>
      <c r="L477" s="77"/>
      <c r="M477" s="169"/>
      <c r="N477" s="169"/>
      <c r="P477" s="7"/>
      <c r="Q477" s="94"/>
      <c r="R477" s="95"/>
      <c r="S477" s="95"/>
      <c r="T477" s="7"/>
      <c r="U477" s="7"/>
      <c r="V477" s="7"/>
      <c r="W477" s="7"/>
      <c r="X477" s="7"/>
      <c r="Z477" s="8" t="e">
        <f>VLOOKUP(M477,Personalização!$I$7:$J$16,2,FALSE)</f>
        <v>#N/A</v>
      </c>
    </row>
    <row r="478" spans="11:26" x14ac:dyDescent="0.2">
      <c r="K478" s="167"/>
      <c r="L478" s="77"/>
      <c r="M478" s="169"/>
      <c r="N478" s="169"/>
      <c r="P478" s="7"/>
      <c r="Q478" s="94"/>
      <c r="R478" s="95"/>
      <c r="S478" s="95"/>
      <c r="T478" s="7"/>
      <c r="U478" s="7"/>
      <c r="V478" s="7"/>
      <c r="W478" s="7"/>
      <c r="X478" s="7"/>
      <c r="Z478" s="8" t="e">
        <f>VLOOKUP(M478,Personalização!$I$7:$J$16,2,FALSE)</f>
        <v>#N/A</v>
      </c>
    </row>
    <row r="479" spans="11:26" x14ac:dyDescent="0.2">
      <c r="K479" s="167"/>
      <c r="L479" s="77"/>
      <c r="M479" s="169"/>
      <c r="N479" s="169"/>
      <c r="P479" s="7"/>
      <c r="Q479" s="94"/>
      <c r="R479" s="95"/>
      <c r="S479" s="95"/>
      <c r="T479" s="7"/>
      <c r="U479" s="7"/>
      <c r="V479" s="7"/>
      <c r="W479" s="7"/>
      <c r="X479" s="7"/>
      <c r="Z479" s="8" t="e">
        <f>VLOOKUP(M479,Personalização!$I$7:$J$16,2,FALSE)</f>
        <v>#N/A</v>
      </c>
    </row>
    <row r="480" spans="11:26" x14ac:dyDescent="0.2">
      <c r="K480" s="167"/>
      <c r="L480" s="77"/>
      <c r="M480" s="169"/>
      <c r="N480" s="169"/>
      <c r="P480" s="7"/>
      <c r="Q480" s="94"/>
      <c r="R480" s="95"/>
      <c r="S480" s="95"/>
      <c r="T480" s="7"/>
      <c r="U480" s="7"/>
      <c r="V480" s="7"/>
      <c r="W480" s="7"/>
      <c r="X480" s="7"/>
      <c r="Z480" s="8" t="e">
        <f>VLOOKUP(M480,Personalização!$I$7:$J$16,2,FALSE)</f>
        <v>#N/A</v>
      </c>
    </row>
    <row r="481" spans="11:26" x14ac:dyDescent="0.2">
      <c r="K481" s="167"/>
      <c r="L481" s="77"/>
      <c r="M481" s="169"/>
      <c r="N481" s="169"/>
      <c r="P481" s="7"/>
      <c r="Q481" s="94"/>
      <c r="R481" s="95"/>
      <c r="S481" s="95"/>
      <c r="T481" s="7"/>
      <c r="U481" s="7"/>
      <c r="V481" s="7"/>
      <c r="W481" s="7"/>
      <c r="X481" s="7"/>
      <c r="Z481" s="8" t="e">
        <f>VLOOKUP(M481,Personalização!$I$7:$J$16,2,FALSE)</f>
        <v>#N/A</v>
      </c>
    </row>
    <row r="482" spans="11:26" x14ac:dyDescent="0.2">
      <c r="K482" s="167"/>
      <c r="L482" s="77"/>
      <c r="M482" s="169"/>
      <c r="N482" s="169"/>
      <c r="P482" s="7"/>
      <c r="Q482" s="94"/>
      <c r="R482" s="95"/>
      <c r="S482" s="95"/>
      <c r="T482" s="7"/>
      <c r="U482" s="7"/>
      <c r="V482" s="7"/>
      <c r="W482" s="7"/>
      <c r="X482" s="7"/>
      <c r="Z482" s="8" t="e">
        <f>VLOOKUP(M482,Personalização!$I$7:$J$16,2,FALSE)</f>
        <v>#N/A</v>
      </c>
    </row>
    <row r="483" spans="11:26" x14ac:dyDescent="0.2">
      <c r="K483" s="167"/>
      <c r="L483" s="77"/>
      <c r="M483" s="169"/>
      <c r="N483" s="169"/>
      <c r="P483" s="7"/>
      <c r="Q483" s="94"/>
      <c r="R483" s="95"/>
      <c r="S483" s="95"/>
      <c r="T483" s="7"/>
      <c r="U483" s="7"/>
      <c r="V483" s="7"/>
      <c r="W483" s="7"/>
      <c r="X483" s="7"/>
      <c r="Z483" s="8" t="e">
        <f>VLOOKUP(M483,Personalização!$I$7:$J$16,2,FALSE)</f>
        <v>#N/A</v>
      </c>
    </row>
    <row r="484" spans="11:26" x14ac:dyDescent="0.2">
      <c r="K484" s="167"/>
      <c r="L484" s="77"/>
      <c r="M484" s="169"/>
      <c r="N484" s="169"/>
      <c r="P484" s="7"/>
      <c r="Q484" s="94"/>
      <c r="R484" s="95"/>
      <c r="S484" s="95"/>
      <c r="T484" s="7"/>
      <c r="U484" s="7"/>
      <c r="V484" s="7"/>
      <c r="W484" s="7"/>
      <c r="X484" s="7"/>
      <c r="Z484" s="8" t="e">
        <f>VLOOKUP(M484,Personalização!$I$7:$J$16,2,FALSE)</f>
        <v>#N/A</v>
      </c>
    </row>
    <row r="485" spans="11:26" x14ac:dyDescent="0.2">
      <c r="K485" s="167"/>
      <c r="L485" s="77"/>
      <c r="M485" s="169"/>
      <c r="N485" s="169"/>
      <c r="P485" s="7"/>
      <c r="Q485" s="94"/>
      <c r="R485" s="95"/>
      <c r="S485" s="95"/>
      <c r="T485" s="7"/>
      <c r="U485" s="7"/>
      <c r="V485" s="7"/>
      <c r="W485" s="7"/>
      <c r="X485" s="7"/>
      <c r="Z485" s="8" t="e">
        <f>VLOOKUP(M485,Personalização!$I$7:$J$16,2,FALSE)</f>
        <v>#N/A</v>
      </c>
    </row>
    <row r="486" spans="11:26" x14ac:dyDescent="0.2">
      <c r="K486" s="167"/>
      <c r="L486" s="77"/>
      <c r="M486" s="169"/>
      <c r="N486" s="169"/>
      <c r="P486" s="7"/>
      <c r="Q486" s="94"/>
      <c r="R486" s="95"/>
      <c r="S486" s="95"/>
      <c r="T486" s="7"/>
      <c r="U486" s="7"/>
      <c r="V486" s="7"/>
      <c r="W486" s="7"/>
      <c r="X486" s="7"/>
      <c r="Z486" s="8" t="e">
        <f>VLOOKUP(M486,Personalização!$I$7:$J$16,2,FALSE)</f>
        <v>#N/A</v>
      </c>
    </row>
    <row r="487" spans="11:26" x14ac:dyDescent="0.2">
      <c r="K487" s="167"/>
      <c r="L487" s="77"/>
      <c r="M487" s="169"/>
      <c r="N487" s="169"/>
      <c r="P487" s="7"/>
      <c r="Q487" s="94"/>
      <c r="R487" s="95"/>
      <c r="S487" s="95"/>
      <c r="T487" s="7"/>
      <c r="U487" s="7"/>
      <c r="V487" s="7"/>
      <c r="W487" s="7"/>
      <c r="X487" s="7"/>
      <c r="Z487" s="8" t="e">
        <f>VLOOKUP(M487,Personalização!$I$7:$J$16,2,FALSE)</f>
        <v>#N/A</v>
      </c>
    </row>
    <row r="488" spans="11:26" x14ac:dyDescent="0.2">
      <c r="K488" s="167"/>
      <c r="L488" s="77"/>
      <c r="M488" s="169"/>
      <c r="N488" s="169"/>
      <c r="P488" s="7"/>
      <c r="Q488" s="94"/>
      <c r="R488" s="95"/>
      <c r="S488" s="95"/>
      <c r="T488" s="7"/>
      <c r="U488" s="7"/>
      <c r="V488" s="7"/>
      <c r="W488" s="7"/>
      <c r="X488" s="7"/>
      <c r="Z488" s="8" t="e">
        <f>VLOOKUP(M488,Personalização!$I$7:$J$16,2,FALSE)</f>
        <v>#N/A</v>
      </c>
    </row>
    <row r="489" spans="11:26" x14ac:dyDescent="0.2">
      <c r="K489" s="167"/>
      <c r="L489" s="77"/>
      <c r="M489" s="169"/>
      <c r="N489" s="169"/>
      <c r="P489" s="7"/>
      <c r="Q489" s="94"/>
      <c r="R489" s="95"/>
      <c r="S489" s="95"/>
      <c r="T489" s="7"/>
      <c r="U489" s="7"/>
      <c r="V489" s="7"/>
      <c r="W489" s="7"/>
      <c r="X489" s="7"/>
      <c r="Z489" s="8" t="e">
        <f>VLOOKUP(M489,Personalização!$I$7:$J$16,2,FALSE)</f>
        <v>#N/A</v>
      </c>
    </row>
    <row r="490" spans="11:26" x14ac:dyDescent="0.2">
      <c r="K490" s="167"/>
      <c r="L490" s="77"/>
      <c r="M490" s="169"/>
      <c r="N490" s="169"/>
      <c r="P490" s="7"/>
      <c r="Q490" s="94"/>
      <c r="R490" s="95"/>
      <c r="S490" s="95"/>
      <c r="T490" s="7"/>
      <c r="U490" s="7"/>
      <c r="V490" s="7"/>
      <c r="W490" s="7"/>
      <c r="X490" s="7"/>
      <c r="Z490" s="8" t="e">
        <f>VLOOKUP(M490,Personalização!$I$7:$J$16,2,FALSE)</f>
        <v>#N/A</v>
      </c>
    </row>
    <row r="491" spans="11:26" x14ac:dyDescent="0.2">
      <c r="K491" s="167"/>
      <c r="L491" s="77"/>
      <c r="M491" s="169"/>
      <c r="N491" s="169"/>
      <c r="P491" s="7"/>
      <c r="Q491" s="94"/>
      <c r="R491" s="95"/>
      <c r="S491" s="95"/>
      <c r="T491" s="7"/>
      <c r="U491" s="7"/>
      <c r="V491" s="7"/>
      <c r="W491" s="7"/>
      <c r="X491" s="7"/>
      <c r="Z491" s="8" t="e">
        <f>VLOOKUP(M491,Personalização!$I$7:$J$16,2,FALSE)</f>
        <v>#N/A</v>
      </c>
    </row>
    <row r="492" spans="11:26" x14ac:dyDescent="0.2">
      <c r="K492" s="167"/>
      <c r="L492" s="77"/>
      <c r="M492" s="169"/>
      <c r="N492" s="169"/>
      <c r="P492" s="7"/>
      <c r="Q492" s="94"/>
      <c r="R492" s="95"/>
      <c r="S492" s="95"/>
      <c r="T492" s="7"/>
      <c r="U492" s="7"/>
      <c r="V492" s="7"/>
      <c r="W492" s="7"/>
      <c r="X492" s="7"/>
      <c r="Z492" s="8" t="e">
        <f>VLOOKUP(M492,Personalização!$I$7:$J$16,2,FALSE)</f>
        <v>#N/A</v>
      </c>
    </row>
    <row r="493" spans="11:26" x14ac:dyDescent="0.2">
      <c r="K493" s="167"/>
      <c r="L493" s="77"/>
      <c r="M493" s="169"/>
      <c r="N493" s="169"/>
      <c r="P493" s="7"/>
      <c r="Q493" s="94"/>
      <c r="R493" s="95"/>
      <c r="S493" s="95"/>
      <c r="T493" s="7"/>
      <c r="U493" s="7"/>
      <c r="V493" s="7"/>
      <c r="W493" s="7"/>
      <c r="X493" s="7"/>
      <c r="Z493" s="8" t="e">
        <f>VLOOKUP(M493,Personalização!$I$7:$J$16,2,FALSE)</f>
        <v>#N/A</v>
      </c>
    </row>
    <row r="494" spans="11:26" x14ac:dyDescent="0.2">
      <c r="K494" s="167"/>
      <c r="L494" s="77"/>
      <c r="M494" s="169"/>
      <c r="N494" s="169"/>
      <c r="P494" s="7"/>
      <c r="Q494" s="94"/>
      <c r="R494" s="95"/>
      <c r="S494" s="95"/>
      <c r="T494" s="7"/>
      <c r="U494" s="7"/>
      <c r="V494" s="7"/>
      <c r="W494" s="7"/>
      <c r="X494" s="7"/>
      <c r="Z494" s="8" t="e">
        <f>VLOOKUP(M494,Personalização!$I$7:$J$16,2,FALSE)</f>
        <v>#N/A</v>
      </c>
    </row>
    <row r="495" spans="11:26" x14ac:dyDescent="0.2">
      <c r="K495" s="167"/>
      <c r="L495" s="77"/>
      <c r="M495" s="169"/>
      <c r="N495" s="169"/>
      <c r="P495" s="7"/>
      <c r="Q495" s="94"/>
      <c r="R495" s="95"/>
      <c r="S495" s="95"/>
      <c r="T495" s="7"/>
      <c r="U495" s="7"/>
      <c r="V495" s="7"/>
      <c r="W495" s="7"/>
      <c r="X495" s="7"/>
      <c r="Z495" s="8" t="e">
        <f>VLOOKUP(M495,Personalização!$I$7:$J$16,2,FALSE)</f>
        <v>#N/A</v>
      </c>
    </row>
    <row r="496" spans="11:26" x14ac:dyDescent="0.2">
      <c r="K496" s="167"/>
      <c r="L496" s="77"/>
      <c r="M496" s="169"/>
      <c r="N496" s="169"/>
      <c r="P496" s="7"/>
      <c r="Q496" s="94"/>
      <c r="R496" s="95"/>
      <c r="S496" s="95"/>
      <c r="T496" s="7"/>
      <c r="U496" s="7"/>
      <c r="V496" s="7"/>
      <c r="W496" s="7"/>
      <c r="X496" s="7"/>
      <c r="Z496" s="8" t="e">
        <f>VLOOKUP(M496,Personalização!$I$7:$J$16,2,FALSE)</f>
        <v>#N/A</v>
      </c>
    </row>
    <row r="497" spans="11:26" x14ac:dyDescent="0.2">
      <c r="K497" s="167"/>
      <c r="L497" s="77"/>
      <c r="M497" s="169"/>
      <c r="N497" s="169"/>
      <c r="P497" s="7"/>
      <c r="Q497" s="94"/>
      <c r="R497" s="95"/>
      <c r="S497" s="95"/>
      <c r="T497" s="7"/>
      <c r="U497" s="7"/>
      <c r="V497" s="7"/>
      <c r="W497" s="7"/>
      <c r="X497" s="7"/>
      <c r="Z497" s="8" t="e">
        <f>VLOOKUP(M497,Personalização!$I$7:$J$16,2,FALSE)</f>
        <v>#N/A</v>
      </c>
    </row>
    <row r="498" spans="11:26" x14ac:dyDescent="0.2">
      <c r="K498" s="167"/>
      <c r="L498" s="77"/>
      <c r="M498" s="169"/>
      <c r="N498" s="169"/>
      <c r="P498" s="7"/>
      <c r="Q498" s="94"/>
      <c r="R498" s="95"/>
      <c r="S498" s="95"/>
      <c r="T498" s="7"/>
      <c r="U498" s="7"/>
      <c r="V498" s="7"/>
      <c r="W498" s="7"/>
      <c r="X498" s="7"/>
      <c r="Z498" s="8" t="e">
        <f>VLOOKUP(M498,Personalização!$I$7:$J$16,2,FALSE)</f>
        <v>#N/A</v>
      </c>
    </row>
    <row r="499" spans="11:26" x14ac:dyDescent="0.2">
      <c r="K499" s="167"/>
      <c r="L499" s="77"/>
      <c r="M499" s="169"/>
      <c r="N499" s="169"/>
      <c r="P499" s="7"/>
      <c r="Q499" s="94"/>
      <c r="R499" s="95"/>
      <c r="S499" s="95"/>
      <c r="T499" s="7"/>
      <c r="U499" s="7"/>
      <c r="V499" s="7"/>
      <c r="W499" s="7"/>
      <c r="X499" s="7"/>
      <c r="Z499" s="8" t="e">
        <f>VLOOKUP(M499,Personalização!$I$7:$J$16,2,FALSE)</f>
        <v>#N/A</v>
      </c>
    </row>
    <row r="500" spans="11:26" x14ac:dyDescent="0.2">
      <c r="K500" s="167"/>
      <c r="L500" s="77"/>
      <c r="M500" s="169"/>
      <c r="N500" s="169"/>
      <c r="P500" s="7"/>
      <c r="Q500" s="94"/>
      <c r="R500" s="95"/>
      <c r="S500" s="95"/>
      <c r="T500" s="7"/>
      <c r="U500" s="7"/>
      <c r="V500" s="7"/>
      <c r="W500" s="7"/>
      <c r="X500" s="7"/>
      <c r="Z500" s="8" t="e">
        <f>VLOOKUP(M500,Personalização!$I$7:$J$16,2,FALSE)</f>
        <v>#N/A</v>
      </c>
    </row>
    <row r="501" spans="11:26" hidden="1" x14ac:dyDescent="0.2">
      <c r="K501" s="98"/>
    </row>
  </sheetData>
  <sheetProtection algorithmName="SHA-512" hashValue="KmRTv49W6e7tmc3q/rrzflZWhLcmfOmc9yrwDBZcS1132CsEsX6GE4/MlK+iCPBm3bRM2uYxA0oUUZkFC6S6IQ==" saltValue="denu6pGH8b2c4rmXBT2XJw==" spinCount="100000" sheet="1" objects="1" scenarios="1"/>
  <conditionalFormatting sqref="H6:H102">
    <cfRule type="cellIs" dxfId="31" priority="1" operator="equal">
      <formula>"-"</formula>
    </cfRule>
  </conditionalFormatting>
  <dataValidations count="2">
    <dataValidation type="list" allowBlank="1" showInputMessage="1" showErrorMessage="1" sqref="R6" xr:uid="{BDF109B2-B3F2-6143-AB48-F33624322D15}">
      <formula1>"1, 2, 3, 4, 5, 6, 7, 8, 9, 10, 11, 12"</formula1>
    </dataValidation>
    <dataValidation type="list" allowBlank="1" showInputMessage="1" showErrorMessage="1" sqref="H6:H200 I104:I200" xr:uid="{4556A9AC-ECD8-D048-83D3-9AB56F7C0AB0}">
      <formula1>"sim, -"</formula1>
    </dataValidation>
  </dataValidations>
  <pageMargins left="0.511811024" right="0.511811024" top="0.78740157499999996" bottom="0.78740157499999996" header="0.31496062000000002" footer="0.31496062000000002"/>
  <drawing r:id="rId1"/>
  <tableParts count="4">
    <tablePart r:id="rId2"/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FC8CFD4-E4A0-8E4B-B427-D5E94C224ABB}">
          <x14:formula1>
            <xm:f>Personalização!$I$7:$I$16</xm:f>
          </x14:formula1>
          <xm:sqref>M6:M500</xm:sqref>
        </x14:dataValidation>
        <x14:dataValidation type="list" allowBlank="1" showInputMessage="1" showErrorMessage="1" xr:uid="{A916F7B1-37BC-8C42-9349-A751C2933221}">
          <x14:formula1>
            <xm:f>Personalização!$F$7:$F$11</xm:f>
          </x14:formula1>
          <xm:sqref>B24:B28</xm:sqref>
        </x14:dataValidation>
        <x14:dataValidation type="list" allowBlank="1" showInputMessage="1" showErrorMessage="1" xr:uid="{20FBD2A1-75A1-554B-B8A8-6FCEBE3AD84E}">
          <x14:formula1>
            <xm:f>Personalização!$S$7:$S$25</xm:f>
          </x14:formula1>
          <xm:sqref>I6:I103 N6:N500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Planilhas</vt:lpstr>
      </vt:variant>
      <vt:variant>
        <vt:i4>17</vt:i4>
      </vt:variant>
      <vt:variant>
        <vt:lpstr>Intervalos Nomeados</vt:lpstr>
      </vt:variant>
      <vt:variant>
        <vt:i4>26</vt:i4>
      </vt:variant>
    </vt:vector>
  </HeadingPairs>
  <TitlesOfParts>
    <vt:vector size="43" baseType="lpstr">
      <vt:lpstr>Resumo</vt:lpstr>
      <vt:lpstr>Dados</vt:lpstr>
      <vt:lpstr>Tabelas</vt:lpstr>
      <vt:lpstr>CopyCSV</vt:lpstr>
      <vt:lpstr>Personalização</vt:lpstr>
      <vt:lpstr>Jan</vt:lpstr>
      <vt:lpstr>Fev</vt:lpstr>
      <vt:lpstr>Mar</vt:lpstr>
      <vt:lpstr>Abr</vt:lpstr>
      <vt:lpstr>Mai</vt:lpstr>
      <vt:lpstr>Jun</vt:lpstr>
      <vt:lpstr>Jul</vt:lpstr>
      <vt:lpstr>Ago</vt:lpstr>
      <vt:lpstr>Set</vt:lpstr>
      <vt:lpstr>Out</vt:lpstr>
      <vt:lpstr>Nov</vt:lpstr>
      <vt:lpstr>Dez</vt:lpstr>
      <vt:lpstr>Abr!AbrCatDv</vt:lpstr>
      <vt:lpstr>Abr!AbrResumo</vt:lpstr>
      <vt:lpstr>Ago!AgoCatDv</vt:lpstr>
      <vt:lpstr>Ago!AgoResumo</vt:lpstr>
      <vt:lpstr>Dez!DezCatDv</vt:lpstr>
      <vt:lpstr>DezInv</vt:lpstr>
      <vt:lpstr>Dez!DezResumo</vt:lpstr>
      <vt:lpstr>Fev!FevCatDv</vt:lpstr>
      <vt:lpstr>FevResumo</vt:lpstr>
      <vt:lpstr>JanCatDv</vt:lpstr>
      <vt:lpstr>JanResumo</vt:lpstr>
      <vt:lpstr>Jul!JulCatDv</vt:lpstr>
      <vt:lpstr>Jul!JulResumo</vt:lpstr>
      <vt:lpstr>Jun!JunCatDv</vt:lpstr>
      <vt:lpstr>Jun!JunResumo</vt:lpstr>
      <vt:lpstr>Mai!MaiCatDv</vt:lpstr>
      <vt:lpstr>Mai!MaiResumo</vt:lpstr>
      <vt:lpstr>Mar!MarCatDv</vt:lpstr>
      <vt:lpstr>Mar!MarResumo</vt:lpstr>
      <vt:lpstr>Nov!NovCatDv</vt:lpstr>
      <vt:lpstr>Nov!NovResumo</vt:lpstr>
      <vt:lpstr>Out!OutCatDv</vt:lpstr>
      <vt:lpstr>Out!OutResumo</vt:lpstr>
      <vt:lpstr>Set!SetCatDv</vt:lpstr>
      <vt:lpstr>Set!SetResumo</vt:lpstr>
      <vt:lpstr>TabelaPrincipal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Emiliane Abreu</dc:creator>
  <cp:lastModifiedBy>Emiliane Abreu</cp:lastModifiedBy>
  <dcterms:created xsi:type="dcterms:W3CDTF">2024-12-28T20:18:37Z</dcterms:created>
  <dcterms:modified xsi:type="dcterms:W3CDTF">2025-02-26T14:02:14Z</dcterms:modified>
</cp:coreProperties>
</file>